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lans\"/>
    </mc:Choice>
  </mc:AlternateContent>
  <xr:revisionPtr revIDLastSave="0" documentId="13_ncr:1_{CB02DCE7-CF16-4934-8869-9124D5CB1D8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ayfa1" sheetId="1" r:id="rId1"/>
  </sheets>
  <definedNames>
    <definedName name="prevWBS" localSheetId="0">Sayfa1!$A1048576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I11" i="1" s="1"/>
  <c r="F8" i="1"/>
  <c r="I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  <author>Vertex42.com Templates</author>
  </authors>
  <commentList>
    <comment ref="B7" authorId="0" shapeId="0" xr:uid="{FDD9EDE1-E4E8-4500-BD14-B94FC548038B}">
      <text>
        <r>
          <rPr>
            <b/>
            <sz val="9"/>
            <color indexed="81"/>
            <rFont val="Tahoma"/>
            <family val="2"/>
          </rPr>
          <t>Task Description</t>
        </r>
        <r>
          <rPr>
            <sz val="9"/>
            <color indexed="81"/>
            <rFont val="Tahoma"/>
            <family val="2"/>
          </rPr>
          <t xml:space="preserve">
Enter the name of each task and sub-task. Use indents for sub-tasks.</t>
        </r>
      </text>
    </comment>
    <comment ref="C7" authorId="0" shapeId="0" xr:uid="{22BE1652-0CBB-48CA-BCAC-68EE76A6A661}">
      <text>
        <r>
          <rPr>
            <b/>
            <sz val="9"/>
            <color indexed="81"/>
            <rFont val="Tahoma"/>
            <family val="2"/>
          </rPr>
          <t>Task Lead</t>
        </r>
        <r>
          <rPr>
            <sz val="9"/>
            <color indexed="81"/>
            <rFont val="Tahoma"/>
            <family val="2"/>
          </rPr>
          <t xml:space="preserve">
Enter the name of the Task Lead in this column.</t>
        </r>
      </text>
    </comment>
    <comment ref="D7" authorId="0" shapeId="0" xr:uid="{45ED21A9-71FD-4B12-93B7-16E638982CCE}">
      <text>
        <r>
          <rPr>
            <b/>
            <sz val="9"/>
            <color indexed="81"/>
            <rFont val="Tahoma"/>
            <family val="2"/>
          </rPr>
          <t xml:space="preserve">Predecessor Tasks:
</t>
        </r>
        <r>
          <rPr>
            <sz val="9"/>
            <color indexed="81"/>
            <rFont val="Tahoma"/>
            <family val="2"/>
          </rPr>
          <t>You can use this column to enter the WBS of a predecessor for reference. The PRO version uses formulas to automatically calculate the Start Date based on the Predecessor.</t>
        </r>
      </text>
    </comment>
    <comment ref="E7" authorId="0" shapeId="0" xr:uid="{84D12271-890D-479F-B167-423E7129BCDA}">
      <text>
        <r>
          <rPr>
            <b/>
            <sz val="9"/>
            <color indexed="81"/>
            <rFont val="Tahoma"/>
            <family val="2"/>
          </rPr>
          <t>Task Start Date</t>
        </r>
        <r>
          <rPr>
            <sz val="9"/>
            <color indexed="81"/>
            <rFont val="Tahoma"/>
            <family val="2"/>
          </rPr>
          <t xml:space="preserve">
You can manually enter the Start Date for each task or use a formula to create a dependency on a Predecessor. For example, you could enter </t>
        </r>
        <r>
          <rPr>
            <b/>
            <sz val="9"/>
            <color indexed="81"/>
            <rFont val="Tahoma"/>
            <family val="2"/>
          </rPr>
          <t>=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+1</t>
        </r>
        <r>
          <rPr>
            <sz val="9"/>
            <color indexed="81"/>
            <rFont val="Tahoma"/>
            <family val="2"/>
          </rPr>
          <t xml:space="preserve"> to set the Start date to the next calendar day, or </t>
        </r>
        <r>
          <rPr>
            <b/>
            <sz val="9"/>
            <color indexed="81"/>
            <rFont val="Tahoma"/>
            <family val="2"/>
          </rPr>
          <t>=WORKDAY(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,1)</t>
        </r>
        <r>
          <rPr>
            <sz val="9"/>
            <color indexed="81"/>
            <rFont val="Tahoma"/>
            <family val="2"/>
          </rPr>
          <t xml:space="preserve"> to set the Start date to the next work day (excluding weekends), where </t>
        </r>
        <r>
          <rPr>
            <i/>
            <sz val="9"/>
            <color indexed="81"/>
            <rFont val="Tahoma"/>
            <family val="2"/>
          </rPr>
          <t>enddate</t>
        </r>
        <r>
          <rPr>
            <sz val="9"/>
            <color indexed="81"/>
            <rFont val="Tahoma"/>
            <family val="2"/>
          </rPr>
          <t xml:space="preserve"> is the cell reference for the End date of the Predecessor task.</t>
        </r>
      </text>
    </comment>
    <comment ref="F7" authorId="1" shapeId="0" xr:uid="{3BB668F9-E4A3-4299-8548-0EFAF6DD3852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The End Date is calculated based on the Start Date and the Calendar Days columns.</t>
        </r>
      </text>
    </comment>
    <comment ref="G7" authorId="0" shapeId="0" xr:uid="{F2EBC22E-FBED-4092-AEAE-AD0787FF5A7B}">
      <text>
        <r>
          <rPr>
            <b/>
            <sz val="9"/>
            <color indexed="81"/>
            <rFont val="Tahoma"/>
            <family val="2"/>
          </rPr>
          <t>Percent Complete</t>
        </r>
        <r>
          <rPr>
            <sz val="9"/>
            <color indexed="81"/>
            <rFont val="Tahoma"/>
            <family val="2"/>
          </rPr>
          <t xml:space="preserve">
Update the status of this task by entering the percent complete (between 0% and 100%).</t>
        </r>
      </text>
    </comment>
    <comment ref="H7" authorId="0" shapeId="0" xr:uid="{E472EB69-80C9-44D9-9C96-891C5832EE93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  <comment ref="I7" authorId="0" shapeId="0" xr:uid="{DFC4601E-1200-47DC-BF82-DC0AFEF6D0E9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</commentList>
</comments>
</file>

<file path=xl/sharedStrings.xml><?xml version="1.0" encoding="utf-8"?>
<sst xmlns="http://schemas.openxmlformats.org/spreadsheetml/2006/main" count="68" uniqueCount="28">
  <si>
    <t xml:space="preserve">Project Lead </t>
  </si>
  <si>
    <t>PREDECESSOR</t>
  </si>
  <si>
    <t>START</t>
  </si>
  <si>
    <t>END</t>
  </si>
  <si>
    <t>% DONE</t>
  </si>
  <si>
    <t>BARFAS</t>
  </si>
  <si>
    <t>Burak YALIM</t>
  </si>
  <si>
    <t xml:space="preserve">Work Start Date </t>
  </si>
  <si>
    <t>HOURS</t>
  </si>
  <si>
    <t>#</t>
  </si>
  <si>
    <t>Hardware Development</t>
  </si>
  <si>
    <t>Software Development</t>
  </si>
  <si>
    <t>Service Type - Project Name</t>
  </si>
  <si>
    <t>Total Hours</t>
  </si>
  <si>
    <t>Week-1</t>
  </si>
  <si>
    <t>Week-2</t>
  </si>
  <si>
    <t>Week-3</t>
  </si>
  <si>
    <t>Week-4</t>
  </si>
  <si>
    <t>S</t>
  </si>
  <si>
    <t>M</t>
  </si>
  <si>
    <t>T</t>
  </si>
  <si>
    <t>W</t>
  </si>
  <si>
    <t>F</t>
  </si>
  <si>
    <t>Week-5</t>
  </si>
  <si>
    <t>MINUTES</t>
  </si>
  <si>
    <t>Gateway (Bluetooth)</t>
  </si>
  <si>
    <t>Duvar Tipi Access Controller</t>
  </si>
  <si>
    <t>MAYIS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</si>
</sst>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\(dddd\)"/>
    <numFmt numFmtId="165" formatCode="d\ mmm\ yyyy"/>
    <numFmt numFmtId="166" formatCode="d"/>
    <numFmt numFmtId="167" formatCode="ddd\ m/dd/yy"/>
    <numFmt numFmtId="168" formatCode="d/m/yyyy\ \(dddd\)"/>
    <numFmt numFmtId="169" formatCode="ddd\ dd/m/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11"/>
      <name val="Calibri"/>
      <family val="2"/>
      <scheme val="minor"/>
    </font>
    <font>
      <sz val="8"/>
      <name val="Arial"/>
      <family val="2"/>
    </font>
    <font>
      <b/>
      <sz val="9"/>
      <name val="Calibri Light"/>
      <family val="2"/>
      <scheme val="major"/>
    </font>
    <font>
      <b/>
      <sz val="8"/>
      <name val="Calibri Light"/>
      <family val="2"/>
      <scheme val="maj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2"/>
      <name val="Calibri Light"/>
      <family val="2"/>
      <charset val="162"/>
      <scheme val="major"/>
    </font>
    <font>
      <b/>
      <sz val="20"/>
      <color theme="4" tint="-0.249977111117893"/>
      <name val="Calibri Light"/>
      <family val="2"/>
      <charset val="162"/>
      <scheme val="major"/>
    </font>
    <font>
      <b/>
      <sz val="12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167" fontId="10" fillId="2" borderId="6" xfId="0" applyNumberFormat="1" applyFont="1" applyFill="1" applyBorder="1" applyAlignment="1">
      <alignment horizontal="center" vertical="center"/>
    </xf>
    <xf numFmtId="1" fontId="10" fillId="2" borderId="6" xfId="1" applyNumberFormat="1" applyFont="1" applyFill="1" applyBorder="1" applyAlignment="1" applyProtection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right" vertical="center"/>
    </xf>
    <xf numFmtId="0" fontId="5" fillId="0" borderId="2" xfId="0" applyFont="1" applyBorder="1"/>
    <xf numFmtId="166" fontId="7" fillId="0" borderId="2" xfId="0" applyNumberFormat="1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1" fontId="12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0" fillId="0" borderId="11" xfId="0" applyFont="1" applyFill="1" applyBorder="1" applyAlignment="1">
      <alignment horizontal="left" vertical="center"/>
    </xf>
    <xf numFmtId="167" fontId="10" fillId="2" borderId="6" xfId="0" applyNumberFormat="1" applyFont="1" applyFill="1" applyBorder="1" applyAlignment="1">
      <alignment horizontal="right" vertical="center"/>
    </xf>
    <xf numFmtId="0" fontId="3" fillId="0" borderId="19" xfId="0" applyFont="1" applyBorder="1"/>
    <xf numFmtId="0" fontId="5" fillId="0" borderId="19" xfId="0" applyFont="1" applyBorder="1"/>
    <xf numFmtId="166" fontId="7" fillId="0" borderId="21" xfId="0" applyNumberFormat="1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3" fillId="0" borderId="8" xfId="0" applyFont="1" applyBorder="1"/>
    <xf numFmtId="0" fontId="8" fillId="0" borderId="12" xfId="0" applyFont="1" applyBorder="1" applyAlignment="1">
      <alignment horizontal="center" vertical="center" wrapText="1"/>
    </xf>
    <xf numFmtId="0" fontId="5" fillId="2" borderId="28" xfId="0" applyFont="1" applyFill="1" applyBorder="1"/>
    <xf numFmtId="1" fontId="22" fillId="2" borderId="4" xfId="0" applyNumberFormat="1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11" xfId="0" applyFont="1" applyBorder="1" applyAlignment="1">
      <alignment horizontal="right" vertical="center"/>
    </xf>
    <xf numFmtId="0" fontId="3" fillId="0" borderId="11" xfId="0" applyFont="1" applyBorder="1"/>
    <xf numFmtId="0" fontId="4" fillId="0" borderId="11" xfId="0" applyFont="1" applyBorder="1" applyAlignment="1" applyProtection="1">
      <alignment horizontal="center" vertical="center"/>
      <protection locked="0"/>
    </xf>
    <xf numFmtId="0" fontId="2" fillId="0" borderId="14" xfId="0" applyFont="1" applyBorder="1"/>
    <xf numFmtId="169" fontId="13" fillId="0" borderId="11" xfId="0" applyNumberFormat="1" applyFont="1" applyBorder="1" applyAlignment="1">
      <alignment horizontal="center" vertical="center"/>
    </xf>
    <xf numFmtId="169" fontId="13" fillId="3" borderId="2" xfId="0" applyNumberFormat="1" applyFont="1" applyFill="1" applyBorder="1" applyAlignment="1">
      <alignment horizontal="center" vertical="center"/>
    </xf>
    <xf numFmtId="169" fontId="13" fillId="0" borderId="2" xfId="0" applyNumberFormat="1" applyFont="1" applyBorder="1" applyAlignment="1">
      <alignment horizontal="center" vertical="center"/>
    </xf>
    <xf numFmtId="169" fontId="13" fillId="0" borderId="10" xfId="0" applyNumberFormat="1" applyFont="1" applyBorder="1" applyAlignment="1">
      <alignment horizontal="center" vertical="center"/>
    </xf>
    <xf numFmtId="0" fontId="5" fillId="2" borderId="31" xfId="0" applyFont="1" applyFill="1" applyBorder="1"/>
    <xf numFmtId="166" fontId="7" fillId="0" borderId="19" xfId="0" applyNumberFormat="1" applyFont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left" vertical="center"/>
    </xf>
    <xf numFmtId="9" fontId="13" fillId="4" borderId="14" xfId="1" applyFont="1" applyFill="1" applyBorder="1" applyAlignment="1" applyProtection="1">
      <alignment horizontal="center" vertical="center"/>
    </xf>
    <xf numFmtId="9" fontId="13" fillId="4" borderId="8" xfId="1" applyFont="1" applyFill="1" applyBorder="1" applyAlignment="1" applyProtection="1">
      <alignment horizontal="center" vertical="center"/>
    </xf>
    <xf numFmtId="0" fontId="5" fillId="0" borderId="10" xfId="0" applyFont="1" applyBorder="1"/>
    <xf numFmtId="0" fontId="8" fillId="0" borderId="33" xfId="0" applyFont="1" applyBorder="1" applyAlignment="1">
      <alignment horizontal="center" vertical="center" wrapText="1"/>
    </xf>
    <xf numFmtId="9" fontId="10" fillId="2" borderId="28" xfId="1" applyFont="1" applyFill="1" applyBorder="1" applyAlignment="1" applyProtection="1">
      <alignment horizontal="center" vertical="center"/>
    </xf>
    <xf numFmtId="1" fontId="13" fillId="0" borderId="34" xfId="0" applyNumberFormat="1" applyFont="1" applyBorder="1" applyAlignment="1">
      <alignment horizontal="center" vertical="center"/>
    </xf>
    <xf numFmtId="9" fontId="10" fillId="2" borderId="29" xfId="1" applyFont="1" applyFill="1" applyBorder="1" applyAlignment="1" applyProtection="1">
      <alignment horizontal="center" vertical="center"/>
    </xf>
    <xf numFmtId="1" fontId="13" fillId="0" borderId="35" xfId="0" applyNumberFormat="1" applyFont="1" applyBorder="1" applyAlignment="1">
      <alignment horizontal="center" vertical="center"/>
    </xf>
    <xf numFmtId="1" fontId="13" fillId="0" borderId="36" xfId="0" applyNumberFormat="1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1" fontId="14" fillId="2" borderId="17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center" vertical="center"/>
    </xf>
    <xf numFmtId="0" fontId="5" fillId="0" borderId="12" xfId="0" applyFont="1" applyBorder="1"/>
    <xf numFmtId="1" fontId="10" fillId="2" borderId="4" xfId="0" applyNumberFormat="1" applyFont="1" applyFill="1" applyBorder="1" applyAlignment="1">
      <alignment horizontal="center" vertical="center"/>
    </xf>
    <xf numFmtId="1" fontId="10" fillId="0" borderId="37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8" fillId="0" borderId="27" xfId="0" applyFont="1" applyBorder="1" applyAlignment="1">
      <alignment horizontal="left" vertical="center"/>
    </xf>
    <xf numFmtId="0" fontId="11" fillId="2" borderId="4" xfId="0" applyFont="1" applyFill="1" applyBorder="1" applyAlignment="1">
      <alignment vertical="center"/>
    </xf>
    <xf numFmtId="0" fontId="10" fillId="0" borderId="29" xfId="0" applyFont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43" xfId="0" applyFont="1" applyBorder="1" applyAlignment="1">
      <alignment vertical="center"/>
    </xf>
    <xf numFmtId="1" fontId="12" fillId="2" borderId="4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Border="1"/>
    <xf numFmtId="166" fontId="7" fillId="6" borderId="0" xfId="0" applyNumberFormat="1" applyFont="1" applyFill="1" applyBorder="1" applyAlignment="1">
      <alignment horizontal="center" vertical="center" shrinkToFit="1"/>
    </xf>
    <xf numFmtId="0" fontId="10" fillId="6" borderId="0" xfId="0" applyFont="1" applyFill="1" applyBorder="1" applyAlignment="1">
      <alignment horizontal="center" vertical="center" shrinkToFit="1"/>
    </xf>
    <xf numFmtId="0" fontId="2" fillId="6" borderId="0" xfId="0" applyFont="1" applyFill="1" applyBorder="1"/>
    <xf numFmtId="0" fontId="1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vertical="center"/>
    </xf>
    <xf numFmtId="0" fontId="10" fillId="0" borderId="45" xfId="0" applyFont="1" applyFill="1" applyBorder="1" applyAlignment="1">
      <alignment horizontal="left" vertical="center"/>
    </xf>
    <xf numFmtId="0" fontId="10" fillId="0" borderId="42" xfId="0" applyFont="1" applyFill="1" applyBorder="1" applyAlignment="1">
      <alignment horizontal="left" vertical="center"/>
    </xf>
    <xf numFmtId="0" fontId="10" fillId="0" borderId="41" xfId="0" applyFont="1" applyFill="1" applyBorder="1" applyAlignment="1">
      <alignment horizontal="left" vertical="center"/>
    </xf>
    <xf numFmtId="0" fontId="10" fillId="0" borderId="40" xfId="0" applyFont="1" applyFill="1" applyBorder="1" applyAlignment="1">
      <alignment horizontal="left" vertical="center"/>
    </xf>
    <xf numFmtId="0" fontId="10" fillId="0" borderId="41" xfId="0" applyFont="1" applyFill="1" applyBorder="1" applyAlignment="1">
      <alignment vertical="center"/>
    </xf>
    <xf numFmtId="0" fontId="10" fillId="0" borderId="21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vertical="center"/>
    </xf>
    <xf numFmtId="0" fontId="10" fillId="2" borderId="24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center"/>
    </xf>
    <xf numFmtId="0" fontId="10" fillId="0" borderId="47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vertical="center"/>
    </xf>
    <xf numFmtId="0" fontId="10" fillId="5" borderId="45" xfId="0" applyFont="1" applyFill="1" applyBorder="1" applyAlignment="1">
      <alignment horizontal="left" vertical="center"/>
    </xf>
    <xf numFmtId="0" fontId="0" fillId="0" borderId="3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1" fillId="0" borderId="30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21" fillId="0" borderId="25" xfId="0" applyFont="1" applyBorder="1" applyAlignment="1" applyProtection="1">
      <alignment horizontal="center" vertical="center" wrapText="1"/>
      <protection locked="0"/>
    </xf>
    <xf numFmtId="0" fontId="21" fillId="0" borderId="26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center" vertical="center" shrinkToFit="1"/>
      <protection locked="0"/>
    </xf>
    <xf numFmtId="168" fontId="4" fillId="0" borderId="11" xfId="0" applyNumberFormat="1" applyFont="1" applyBorder="1" applyAlignment="1" applyProtection="1">
      <alignment horizontal="center" vertical="center" shrinkToFit="1"/>
      <protection locked="0"/>
    </xf>
    <xf numFmtId="49" fontId="21" fillId="0" borderId="30" xfId="0" applyNumberFormat="1" applyFont="1" applyBorder="1" applyAlignment="1" applyProtection="1">
      <alignment horizontal="center" vertical="center" wrapText="1"/>
      <protection locked="0"/>
    </xf>
    <xf numFmtId="49" fontId="21" fillId="0" borderId="17" xfId="0" applyNumberFormat="1" applyFont="1" applyBorder="1" applyAlignment="1" applyProtection="1">
      <alignment horizontal="center" vertical="center" wrapText="1"/>
      <protection locked="0"/>
    </xf>
    <xf numFmtId="49" fontId="21" fillId="0" borderId="31" xfId="0" applyNumberFormat="1" applyFont="1" applyBorder="1" applyAlignment="1" applyProtection="1">
      <alignment horizontal="center" vertical="center" wrapText="1"/>
      <protection locked="0"/>
    </xf>
    <xf numFmtId="49" fontId="21" fillId="0" borderId="0" xfId="0" applyNumberFormat="1" applyFont="1" applyBorder="1" applyAlignment="1" applyProtection="1">
      <alignment horizontal="center" vertical="center" wrapText="1"/>
      <protection locked="0"/>
    </xf>
    <xf numFmtId="49" fontId="21" fillId="0" borderId="24" xfId="0" applyNumberFormat="1" applyFont="1" applyBorder="1" applyAlignment="1" applyProtection="1">
      <alignment horizontal="center" vertical="center" wrapText="1"/>
      <protection locked="0"/>
    </xf>
    <xf numFmtId="49" fontId="21" fillId="0" borderId="25" xfId="0" applyNumberFormat="1" applyFont="1" applyBorder="1" applyAlignment="1" applyProtection="1">
      <alignment horizontal="center" vertical="center" wrapText="1"/>
      <protection locked="0"/>
    </xf>
    <xf numFmtId="165" fontId="4" fillId="6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center" vertical="center" shrinkToFit="1"/>
    </xf>
    <xf numFmtId="0" fontId="10" fillId="0" borderId="45" xfId="0" applyFont="1" applyBorder="1" applyAlignment="1">
      <alignment horizontal="center" vertical="center" shrinkToFit="1"/>
    </xf>
    <xf numFmtId="0" fontId="10" fillId="0" borderId="46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166" fontId="7" fillId="0" borderId="40" xfId="0" applyNumberFormat="1" applyFont="1" applyBorder="1" applyAlignment="1">
      <alignment horizontal="center" vertical="center" shrinkToFit="1"/>
    </xf>
    <xf numFmtId="166" fontId="7" fillId="0" borderId="41" xfId="0" applyNumberFormat="1" applyFont="1" applyBorder="1" applyAlignment="1">
      <alignment horizontal="center" vertical="center" shrinkToFit="1"/>
    </xf>
    <xf numFmtId="166" fontId="7" fillId="0" borderId="42" xfId="0" applyNumberFormat="1" applyFont="1" applyBorder="1" applyAlignment="1">
      <alignment horizontal="center" vertical="center" shrinkToFit="1"/>
    </xf>
    <xf numFmtId="0" fontId="6" fillId="0" borderId="31" xfId="0" applyFont="1" applyBorder="1" applyAlignment="1">
      <alignment horizontal="center" vertical="center"/>
    </xf>
  </cellXfs>
  <cellStyles count="2">
    <cellStyle name="Normal" xfId="0" builtinId="0"/>
    <cellStyle name="Yüzde" xfId="1" builtinId="5"/>
  </cellStyles>
  <dxfs count="166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04"/>
  <sheetViews>
    <sheetView tabSelected="1" workbookViewId="0">
      <selection activeCell="C5" sqref="C5:E5"/>
    </sheetView>
  </sheetViews>
  <sheetFormatPr defaultColWidth="9.140625" defaultRowHeight="15" x14ac:dyDescent="0.25"/>
  <cols>
    <col min="1" max="1" width="6.85546875" customWidth="1"/>
    <col min="2" max="2" width="25.140625" bestFit="1" customWidth="1"/>
    <col min="3" max="3" width="7.7109375" customWidth="1"/>
    <col min="4" max="4" width="6.85546875" customWidth="1"/>
    <col min="5" max="6" width="12" customWidth="1"/>
    <col min="7" max="7" width="11.42578125" bestFit="1" customWidth="1"/>
    <col min="8" max="8" width="6.7109375" customWidth="1"/>
    <col min="9" max="9" width="8.5703125" bestFit="1" customWidth="1"/>
    <col min="10" max="10" width="1.85546875" customWidth="1"/>
    <col min="11" max="38" width="3.28515625" customWidth="1"/>
    <col min="39" max="39" width="4.42578125" customWidth="1"/>
    <col min="40" max="45" width="3.28515625" customWidth="1"/>
    <col min="46" max="60" width="9" customWidth="1"/>
  </cols>
  <sheetData>
    <row r="1" spans="1:65" ht="26.25" customHeight="1" x14ac:dyDescent="0.25">
      <c r="A1" s="115" t="s">
        <v>5</v>
      </c>
      <c r="B1" s="116"/>
      <c r="C1" s="116"/>
      <c r="D1" s="116"/>
      <c r="E1" s="116"/>
      <c r="F1" s="116"/>
      <c r="G1" s="116"/>
      <c r="H1" s="116"/>
      <c r="I1" s="117"/>
      <c r="J1" s="35"/>
      <c r="K1" s="126" t="s">
        <v>27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</row>
    <row r="2" spans="1:65" ht="15.75" customHeight="1" thickBot="1" x14ac:dyDescent="0.3">
      <c r="A2" s="118"/>
      <c r="B2" s="119"/>
      <c r="C2" s="119"/>
      <c r="D2" s="119"/>
      <c r="E2" s="119"/>
      <c r="F2" s="119"/>
      <c r="G2" s="119"/>
      <c r="H2" s="119"/>
      <c r="I2" s="120"/>
      <c r="J2" s="35"/>
      <c r="K2" s="128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</row>
    <row r="3" spans="1:65" ht="15.75" customHeight="1" thickBot="1" x14ac:dyDescent="0.3">
      <c r="A3" s="121" t="s">
        <v>6</v>
      </c>
      <c r="B3" s="122"/>
      <c r="C3" s="122"/>
      <c r="D3" s="122"/>
      <c r="E3" s="122"/>
      <c r="F3" s="122"/>
      <c r="G3" s="122"/>
      <c r="H3" s="122"/>
      <c r="I3" s="123"/>
      <c r="J3" s="35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</row>
    <row r="4" spans="1:65" x14ac:dyDescent="0.25">
      <c r="A4" s="37"/>
      <c r="B4" s="38" t="s">
        <v>7</v>
      </c>
      <c r="C4" s="125">
        <v>46144</v>
      </c>
      <c r="D4" s="125"/>
      <c r="E4" s="125"/>
      <c r="F4" s="39"/>
      <c r="G4" s="38"/>
      <c r="H4" s="40"/>
      <c r="I4" s="41"/>
      <c r="J4" s="46"/>
      <c r="K4" s="109" t="s">
        <v>14</v>
      </c>
      <c r="L4" s="110"/>
      <c r="M4" s="110"/>
      <c r="N4" s="110"/>
      <c r="O4" s="110"/>
      <c r="P4" s="110"/>
      <c r="Q4" s="111"/>
      <c r="R4" s="110" t="s">
        <v>15</v>
      </c>
      <c r="S4" s="110"/>
      <c r="T4" s="110"/>
      <c r="U4" s="110"/>
      <c r="V4" s="110"/>
      <c r="W4" s="110"/>
      <c r="X4" s="111"/>
      <c r="Y4" s="109" t="s">
        <v>16</v>
      </c>
      <c r="Z4" s="110"/>
      <c r="AA4" s="110"/>
      <c r="AB4" s="110"/>
      <c r="AC4" s="110"/>
      <c r="AD4" s="110"/>
      <c r="AE4" s="111"/>
      <c r="AF4" s="109" t="s">
        <v>17</v>
      </c>
      <c r="AG4" s="110"/>
      <c r="AH4" s="110"/>
      <c r="AI4" s="110"/>
      <c r="AJ4" s="110"/>
      <c r="AK4" s="110"/>
      <c r="AL4" s="111"/>
      <c r="AM4" s="109" t="s">
        <v>23</v>
      </c>
      <c r="AN4" s="110"/>
      <c r="AO4" s="110"/>
      <c r="AP4" s="110"/>
      <c r="AQ4" s="110"/>
      <c r="AR4" s="110"/>
      <c r="AS4" s="111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85"/>
      <c r="BI4" s="85"/>
      <c r="BJ4" s="85"/>
      <c r="BK4" s="85"/>
      <c r="BL4" s="85"/>
      <c r="BM4" s="85"/>
    </row>
    <row r="5" spans="1:65" ht="15.75" thickBot="1" x14ac:dyDescent="0.3">
      <c r="A5" s="27"/>
      <c r="B5" s="11" t="s">
        <v>0</v>
      </c>
      <c r="C5" s="124"/>
      <c r="D5" s="124"/>
      <c r="E5" s="124"/>
      <c r="F5" s="10"/>
      <c r="G5" s="10"/>
      <c r="H5" s="10"/>
      <c r="I5" s="33"/>
      <c r="J5" s="46"/>
      <c r="K5" s="112"/>
      <c r="L5" s="113"/>
      <c r="M5" s="113"/>
      <c r="N5" s="113"/>
      <c r="O5" s="113"/>
      <c r="P5" s="113"/>
      <c r="Q5" s="114"/>
      <c r="R5" s="137"/>
      <c r="S5" s="137"/>
      <c r="T5" s="137"/>
      <c r="U5" s="137"/>
      <c r="V5" s="137"/>
      <c r="W5" s="137"/>
      <c r="X5" s="138"/>
      <c r="Y5" s="142"/>
      <c r="Z5" s="137"/>
      <c r="AA5" s="137"/>
      <c r="AB5" s="137"/>
      <c r="AC5" s="137"/>
      <c r="AD5" s="137"/>
      <c r="AE5" s="138"/>
      <c r="AF5" s="142"/>
      <c r="AG5" s="137"/>
      <c r="AH5" s="137"/>
      <c r="AI5" s="137"/>
      <c r="AJ5" s="137"/>
      <c r="AK5" s="137"/>
      <c r="AL5" s="138"/>
      <c r="AM5" s="142"/>
      <c r="AN5" s="137"/>
      <c r="AO5" s="137"/>
      <c r="AP5" s="137"/>
      <c r="AQ5" s="137"/>
      <c r="AR5" s="137"/>
      <c r="AS5" s="138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85"/>
      <c r="BI5" s="85"/>
      <c r="BJ5" s="85"/>
      <c r="BK5" s="85"/>
      <c r="BL5" s="85"/>
      <c r="BM5" s="85"/>
    </row>
    <row r="6" spans="1:65" ht="15.75" thickBot="1" x14ac:dyDescent="0.3">
      <c r="A6" s="28"/>
      <c r="B6" s="53"/>
      <c r="C6" s="12"/>
      <c r="D6" s="12"/>
      <c r="E6" s="12"/>
      <c r="F6" s="12"/>
      <c r="G6" s="12"/>
      <c r="H6" s="53"/>
      <c r="I6" s="64"/>
      <c r="J6" s="46"/>
      <c r="K6" s="47"/>
      <c r="L6" s="13"/>
      <c r="M6" s="13"/>
      <c r="N6" s="13"/>
      <c r="O6" s="13">
        <v>1</v>
      </c>
      <c r="P6" s="13">
        <v>2</v>
      </c>
      <c r="Q6" s="29">
        <v>3</v>
      </c>
      <c r="R6" s="139">
        <v>4</v>
      </c>
      <c r="S6" s="140">
        <v>5</v>
      </c>
      <c r="T6" s="140">
        <v>6</v>
      </c>
      <c r="U6" s="140">
        <v>7</v>
      </c>
      <c r="V6" s="140">
        <v>8</v>
      </c>
      <c r="W6" s="140">
        <v>9</v>
      </c>
      <c r="X6" s="141">
        <v>10</v>
      </c>
      <c r="Y6" s="139">
        <v>11</v>
      </c>
      <c r="Z6" s="140">
        <v>12</v>
      </c>
      <c r="AA6" s="140">
        <v>13</v>
      </c>
      <c r="AB6" s="140">
        <v>14</v>
      </c>
      <c r="AC6" s="140">
        <v>15</v>
      </c>
      <c r="AD6" s="140">
        <v>16</v>
      </c>
      <c r="AE6" s="141">
        <v>17</v>
      </c>
      <c r="AF6" s="139">
        <v>18</v>
      </c>
      <c r="AG6" s="140">
        <v>19</v>
      </c>
      <c r="AH6" s="140">
        <v>20</v>
      </c>
      <c r="AI6" s="140">
        <v>21</v>
      </c>
      <c r="AJ6" s="140">
        <v>22</v>
      </c>
      <c r="AK6" s="140">
        <v>23</v>
      </c>
      <c r="AL6" s="141">
        <v>24</v>
      </c>
      <c r="AM6" s="139">
        <v>25</v>
      </c>
      <c r="AN6" s="140">
        <v>26</v>
      </c>
      <c r="AO6" s="140">
        <v>27</v>
      </c>
      <c r="AP6" s="140">
        <v>28</v>
      </c>
      <c r="AQ6" s="140">
        <v>29</v>
      </c>
      <c r="AR6" s="140">
        <v>30</v>
      </c>
      <c r="AS6" s="141">
        <v>31</v>
      </c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5"/>
      <c r="BI6" s="85"/>
      <c r="BJ6" s="85"/>
      <c r="BK6" s="85"/>
      <c r="BL6" s="85"/>
      <c r="BM6" s="85"/>
    </row>
    <row r="7" spans="1:65" s="1" customFormat="1" ht="18.75" customHeight="1" thickBot="1" x14ac:dyDescent="0.25">
      <c r="A7" s="67"/>
      <c r="B7" s="72" t="s">
        <v>12</v>
      </c>
      <c r="C7" s="68"/>
      <c r="D7" s="23" t="s">
        <v>1</v>
      </c>
      <c r="E7" s="24" t="s">
        <v>2</v>
      </c>
      <c r="F7" s="24" t="s">
        <v>3</v>
      </c>
      <c r="G7" s="34" t="s">
        <v>4</v>
      </c>
      <c r="H7" s="54" t="s">
        <v>8</v>
      </c>
      <c r="I7" s="54" t="s">
        <v>24</v>
      </c>
      <c r="J7" s="60"/>
      <c r="K7" s="134" t="s">
        <v>19</v>
      </c>
      <c r="L7" s="135" t="s">
        <v>20</v>
      </c>
      <c r="M7" s="135" t="s">
        <v>21</v>
      </c>
      <c r="N7" s="135" t="s">
        <v>20</v>
      </c>
      <c r="O7" s="135" t="s">
        <v>22</v>
      </c>
      <c r="P7" s="135" t="s">
        <v>18</v>
      </c>
      <c r="Q7" s="136" t="s">
        <v>18</v>
      </c>
      <c r="R7" s="134" t="s">
        <v>19</v>
      </c>
      <c r="S7" s="135" t="s">
        <v>20</v>
      </c>
      <c r="T7" s="135" t="s">
        <v>21</v>
      </c>
      <c r="U7" s="135" t="s">
        <v>20</v>
      </c>
      <c r="V7" s="135" t="s">
        <v>22</v>
      </c>
      <c r="W7" s="135" t="s">
        <v>18</v>
      </c>
      <c r="X7" s="136" t="s">
        <v>18</v>
      </c>
      <c r="Y7" s="134" t="s">
        <v>19</v>
      </c>
      <c r="Z7" s="135" t="s">
        <v>20</v>
      </c>
      <c r="AA7" s="135" t="s">
        <v>21</v>
      </c>
      <c r="AB7" s="135" t="s">
        <v>20</v>
      </c>
      <c r="AC7" s="135" t="s">
        <v>22</v>
      </c>
      <c r="AD7" s="135" t="s">
        <v>18</v>
      </c>
      <c r="AE7" s="136" t="s">
        <v>18</v>
      </c>
      <c r="AF7" s="134" t="s">
        <v>19</v>
      </c>
      <c r="AG7" s="135" t="s">
        <v>20</v>
      </c>
      <c r="AH7" s="135" t="s">
        <v>21</v>
      </c>
      <c r="AI7" s="135" t="s">
        <v>20</v>
      </c>
      <c r="AJ7" s="135" t="s">
        <v>22</v>
      </c>
      <c r="AK7" s="135" t="s">
        <v>18</v>
      </c>
      <c r="AL7" s="136" t="s">
        <v>18</v>
      </c>
      <c r="AM7" s="134" t="s">
        <v>19</v>
      </c>
      <c r="AN7" s="135" t="s">
        <v>20</v>
      </c>
      <c r="AO7" s="135" t="s">
        <v>21</v>
      </c>
      <c r="AP7" s="135" t="s">
        <v>20</v>
      </c>
      <c r="AQ7" s="135" t="s">
        <v>22</v>
      </c>
      <c r="AR7" s="135" t="s">
        <v>18</v>
      </c>
      <c r="AS7" s="136" t="s">
        <v>18</v>
      </c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8"/>
      <c r="BI7" s="88"/>
      <c r="BJ7" s="88"/>
      <c r="BK7" s="88"/>
      <c r="BL7" s="88"/>
      <c r="BM7" s="88"/>
    </row>
    <row r="8" spans="1:65" s="2" customFormat="1" ht="19.5" thickBot="1" x14ac:dyDescent="0.3">
      <c r="A8" s="75" t="s">
        <v>9</v>
      </c>
      <c r="B8" s="73" t="s">
        <v>10</v>
      </c>
      <c r="C8" s="6"/>
      <c r="D8" s="7"/>
      <c r="E8" s="26"/>
      <c r="F8" s="8" t="str">
        <f>IF(ISBLANK(E8)," - ",IF(G8=0,E8,E8+G8-1))</f>
        <v xml:space="preserve"> - </v>
      </c>
      <c r="G8" s="9"/>
      <c r="H8" s="55"/>
      <c r="I8" s="65" t="str">
        <f t="shared" ref="I8:I11" si="0">IF(OR(F8=0,E8=0)," - ",NETWORKDAYS(E8,F8))</f>
        <v xml:space="preserve"> - </v>
      </c>
      <c r="J8" s="20"/>
      <c r="K8" s="48"/>
      <c r="L8" s="21"/>
      <c r="M8" s="21"/>
      <c r="N8" s="21"/>
      <c r="O8" s="21"/>
      <c r="P8" s="21"/>
      <c r="Q8" s="22"/>
      <c r="R8" s="48"/>
      <c r="S8" s="21"/>
      <c r="T8" s="21"/>
      <c r="U8" s="21"/>
      <c r="V8" s="21"/>
      <c r="W8" s="21"/>
      <c r="X8" s="22"/>
      <c r="Y8" s="48"/>
      <c r="Z8" s="21"/>
      <c r="AA8" s="21"/>
      <c r="AB8" s="21"/>
      <c r="AC8" s="21"/>
      <c r="AD8" s="21"/>
      <c r="AE8" s="22"/>
      <c r="AF8" s="48"/>
      <c r="AG8" s="21"/>
      <c r="AH8" s="21"/>
      <c r="AI8" s="21"/>
      <c r="AJ8" s="21"/>
      <c r="AK8" s="21"/>
      <c r="AL8" s="22"/>
      <c r="AM8" s="48"/>
      <c r="AN8" s="21"/>
      <c r="AO8" s="21"/>
      <c r="AP8" s="21"/>
      <c r="AQ8" s="21"/>
      <c r="AR8" s="21"/>
      <c r="AS8" s="22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90"/>
      <c r="BI8" s="90"/>
      <c r="BJ8" s="90"/>
      <c r="BK8" s="90"/>
      <c r="BL8" s="90"/>
      <c r="BM8" s="90"/>
    </row>
    <row r="9" spans="1:65" s="3" customFormat="1" ht="19.5" thickBot="1" x14ac:dyDescent="0.3">
      <c r="A9" s="76">
        <v>1</v>
      </c>
      <c r="B9" s="74" t="s">
        <v>25</v>
      </c>
      <c r="C9" s="69"/>
      <c r="D9" s="18"/>
      <c r="E9" s="43">
        <v>46153</v>
      </c>
      <c r="F9" s="42"/>
      <c r="G9" s="51"/>
      <c r="H9" s="56">
        <v>4</v>
      </c>
      <c r="I9" s="66">
        <v>30</v>
      </c>
      <c r="J9" s="61"/>
      <c r="K9" s="49"/>
      <c r="L9" s="25"/>
      <c r="M9" s="25"/>
      <c r="N9" s="25"/>
      <c r="O9" s="25"/>
      <c r="P9" s="25"/>
      <c r="Q9" s="82"/>
      <c r="R9" s="49"/>
      <c r="S9" s="25"/>
      <c r="T9" s="25"/>
      <c r="U9" s="25"/>
      <c r="V9" s="25"/>
      <c r="W9" s="25"/>
      <c r="X9" s="50"/>
      <c r="Y9" s="104"/>
      <c r="Z9" s="25"/>
      <c r="AA9" s="25"/>
      <c r="AB9" s="25"/>
      <c r="AC9" s="25"/>
      <c r="AD9" s="25"/>
      <c r="AE9" s="31"/>
      <c r="AF9" s="30"/>
      <c r="AG9" s="17"/>
      <c r="AH9" s="17"/>
      <c r="AI9" s="17"/>
      <c r="AJ9" s="17"/>
      <c r="AK9" s="17"/>
      <c r="AL9" s="31"/>
      <c r="AM9" s="30"/>
      <c r="AN9" s="17"/>
      <c r="AO9" s="25"/>
      <c r="AQ9" s="17"/>
      <c r="AR9" s="17"/>
      <c r="AS9" s="31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90"/>
      <c r="BI9" s="90"/>
      <c r="BJ9" s="90"/>
      <c r="BK9" s="90"/>
      <c r="BL9" s="90"/>
      <c r="BM9" s="90"/>
    </row>
    <row r="10" spans="1:65" s="3" customFormat="1" ht="19.5" thickBot="1" x14ac:dyDescent="0.3">
      <c r="A10" s="76">
        <v>2</v>
      </c>
      <c r="B10" s="74" t="s">
        <v>25</v>
      </c>
      <c r="C10" s="69"/>
      <c r="D10" s="18"/>
      <c r="E10" s="43">
        <v>46156</v>
      </c>
      <c r="F10" s="42"/>
      <c r="G10" s="51"/>
      <c r="H10" s="56">
        <v>2</v>
      </c>
      <c r="I10" s="66">
        <v>30</v>
      </c>
      <c r="J10" s="61"/>
      <c r="K10" s="49"/>
      <c r="L10" s="25"/>
      <c r="M10" s="25"/>
      <c r="N10" s="25"/>
      <c r="O10" s="25"/>
      <c r="P10" s="25"/>
      <c r="Q10" s="82"/>
      <c r="R10" s="49"/>
      <c r="S10" s="25"/>
      <c r="T10" s="25"/>
      <c r="U10" s="25"/>
      <c r="V10" s="25"/>
      <c r="W10" s="25"/>
      <c r="X10" s="50"/>
      <c r="Y10" s="91"/>
      <c r="Z10" s="25"/>
      <c r="AA10" s="25"/>
      <c r="AB10" s="104"/>
      <c r="AC10" s="25"/>
      <c r="AD10" s="25"/>
      <c r="AE10" s="31"/>
      <c r="AF10" s="30"/>
      <c r="AG10" s="17"/>
      <c r="AH10" s="17"/>
      <c r="AI10" s="17"/>
      <c r="AJ10" s="17"/>
      <c r="AK10" s="17"/>
      <c r="AL10" s="31"/>
      <c r="AM10" s="30"/>
      <c r="AN10" s="17"/>
      <c r="AO10" s="25"/>
      <c r="AQ10" s="17"/>
      <c r="AR10" s="17"/>
      <c r="AS10" s="31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90"/>
      <c r="BI10" s="90"/>
      <c r="BJ10" s="90"/>
      <c r="BK10" s="90"/>
      <c r="BL10" s="90"/>
      <c r="BM10" s="90"/>
    </row>
    <row r="11" spans="1:65" s="2" customFormat="1" ht="19.5" thickBot="1" x14ac:dyDescent="0.3">
      <c r="A11" s="75" t="s">
        <v>9</v>
      </c>
      <c r="B11" s="73" t="s">
        <v>11</v>
      </c>
      <c r="C11" s="6"/>
      <c r="D11" s="7"/>
      <c r="E11" s="8"/>
      <c r="F11" s="8" t="str">
        <f t="shared" ref="F11" si="1">IF(ISBLANK(E11)," - ",IF(G11=0,E11,E11+G11-1))</f>
        <v xml:space="preserve"> - </v>
      </c>
      <c r="G11" s="9"/>
      <c r="H11" s="57"/>
      <c r="I11" s="65" t="str">
        <f t="shared" si="0"/>
        <v xml:space="preserve"> - </v>
      </c>
      <c r="J11" s="20"/>
      <c r="K11" s="78"/>
      <c r="L11" s="79"/>
      <c r="M11" s="79"/>
      <c r="N11" s="79"/>
      <c r="O11" s="79"/>
      <c r="P11" s="79"/>
      <c r="Q11" s="80"/>
      <c r="R11" s="78"/>
      <c r="S11" s="79"/>
      <c r="T11" s="79"/>
      <c r="U11" s="79"/>
      <c r="V11" s="79"/>
      <c r="W11" s="79"/>
      <c r="X11" s="80"/>
      <c r="Y11" s="78"/>
      <c r="Z11" s="79"/>
      <c r="AA11" s="79"/>
      <c r="AB11" s="79"/>
      <c r="AC11" s="79"/>
      <c r="AD11" s="79"/>
      <c r="AE11" s="80"/>
      <c r="AF11" s="78"/>
      <c r="AG11" s="79"/>
      <c r="AH11" s="79"/>
      <c r="AI11" s="79"/>
      <c r="AJ11" s="79"/>
      <c r="AK11" s="79"/>
      <c r="AL11" s="80"/>
      <c r="AM11" s="78"/>
      <c r="AN11" s="79"/>
      <c r="AO11" s="79"/>
      <c r="AP11" s="79"/>
      <c r="AQ11" s="79"/>
      <c r="AR11" s="79"/>
      <c r="AS11" s="80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90"/>
      <c r="BI11" s="90"/>
      <c r="BJ11" s="90"/>
      <c r="BK11" s="90"/>
      <c r="BL11" s="90"/>
      <c r="BM11" s="90"/>
    </row>
    <row r="12" spans="1:65" s="3" customFormat="1" ht="19.5" thickBot="1" x14ac:dyDescent="0.3">
      <c r="A12" s="76">
        <v>1</v>
      </c>
      <c r="B12" s="74" t="s">
        <v>25</v>
      </c>
      <c r="C12" s="69"/>
      <c r="D12" s="18"/>
      <c r="E12" s="43">
        <v>46144</v>
      </c>
      <c r="F12" s="42"/>
      <c r="G12" s="51"/>
      <c r="H12" s="58">
        <v>4</v>
      </c>
      <c r="I12" s="58">
        <v>50</v>
      </c>
      <c r="J12" s="61"/>
      <c r="K12" s="81"/>
      <c r="L12" s="93"/>
      <c r="M12" s="93"/>
      <c r="N12" s="93"/>
      <c r="O12" s="93"/>
      <c r="P12" s="104"/>
      <c r="Q12" s="101"/>
      <c r="R12" s="94"/>
      <c r="S12" s="93"/>
      <c r="T12" s="93"/>
      <c r="U12" s="93"/>
      <c r="V12" s="93"/>
      <c r="W12" s="93"/>
      <c r="X12" s="101"/>
      <c r="Y12" s="94"/>
      <c r="Z12" s="95"/>
      <c r="AA12" s="93"/>
      <c r="AB12" s="93"/>
      <c r="AC12" s="93"/>
      <c r="AD12" s="93"/>
      <c r="AE12" s="101"/>
      <c r="AF12" s="94"/>
      <c r="AG12" s="93"/>
      <c r="AH12" s="93"/>
      <c r="AI12" s="93"/>
      <c r="AJ12" s="93"/>
      <c r="AK12" s="93"/>
      <c r="AL12" s="101"/>
      <c r="AM12" s="94"/>
      <c r="AN12" s="93"/>
      <c r="AO12" s="93"/>
      <c r="AP12" s="93"/>
      <c r="AQ12" s="93"/>
      <c r="AR12" s="93"/>
      <c r="AS12" s="92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90"/>
      <c r="BI12" s="90"/>
      <c r="BJ12" s="90"/>
      <c r="BK12" s="90"/>
      <c r="BL12" s="90"/>
      <c r="BM12" s="90"/>
    </row>
    <row r="13" spans="1:65" s="3" customFormat="1" ht="19.5" thickBot="1" x14ac:dyDescent="0.3">
      <c r="A13" s="77">
        <v>2</v>
      </c>
      <c r="B13" s="74" t="s">
        <v>26</v>
      </c>
      <c r="C13" s="70"/>
      <c r="D13" s="14"/>
      <c r="E13" s="43">
        <v>46149</v>
      </c>
      <c r="F13" s="44"/>
      <c r="G13" s="52"/>
      <c r="H13" s="56">
        <v>3</v>
      </c>
      <c r="I13" s="56">
        <v>0</v>
      </c>
      <c r="J13" s="62"/>
      <c r="K13" s="32"/>
      <c r="L13" s="15"/>
      <c r="M13" s="15"/>
      <c r="N13" s="15"/>
      <c r="O13" s="15"/>
      <c r="P13" s="15"/>
      <c r="Q13" s="102"/>
      <c r="R13" s="97"/>
      <c r="S13" s="15"/>
      <c r="T13" s="15"/>
      <c r="U13" s="104"/>
      <c r="V13" s="15"/>
      <c r="W13" s="98"/>
      <c r="X13" s="102"/>
      <c r="Y13" s="97"/>
      <c r="Z13" s="15"/>
      <c r="AA13" s="15"/>
      <c r="AB13" s="15"/>
      <c r="AC13" s="15"/>
      <c r="AD13" s="98"/>
      <c r="AE13" s="102"/>
      <c r="AF13" s="97"/>
      <c r="AG13" s="15"/>
      <c r="AH13" s="15"/>
      <c r="AI13" s="15"/>
      <c r="AJ13" s="15"/>
      <c r="AK13" s="15"/>
      <c r="AL13" s="102"/>
      <c r="AM13" s="97"/>
      <c r="AN13" s="15"/>
      <c r="AO13" s="15"/>
      <c r="AP13" s="15"/>
      <c r="AQ13" s="15"/>
      <c r="AR13" s="15"/>
      <c r="AS13" s="96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90"/>
      <c r="BI13" s="90"/>
      <c r="BJ13" s="90"/>
      <c r="BK13" s="90"/>
      <c r="BL13" s="90"/>
      <c r="BM13" s="90"/>
    </row>
    <row r="14" spans="1:65" s="3" customFormat="1" ht="19.5" thickBot="1" x14ac:dyDescent="0.3">
      <c r="A14" s="76">
        <v>3</v>
      </c>
      <c r="B14" s="74" t="s">
        <v>25</v>
      </c>
      <c r="C14" s="70"/>
      <c r="D14" s="14"/>
      <c r="E14" s="43">
        <v>46150</v>
      </c>
      <c r="F14" s="44"/>
      <c r="G14" s="52"/>
      <c r="H14" s="56">
        <v>4</v>
      </c>
      <c r="I14" s="56">
        <v>50</v>
      </c>
      <c r="J14" s="62"/>
      <c r="K14" s="32"/>
      <c r="L14" s="15"/>
      <c r="M14" s="15"/>
      <c r="N14" s="15"/>
      <c r="O14" s="15"/>
      <c r="P14" s="15"/>
      <c r="Q14" s="102"/>
      <c r="R14" s="97"/>
      <c r="S14" s="15"/>
      <c r="T14" s="15"/>
      <c r="U14" s="15"/>
      <c r="V14" s="104"/>
      <c r="W14" s="15"/>
      <c r="X14" s="102"/>
      <c r="Y14" s="97"/>
      <c r="Z14" s="15"/>
      <c r="AA14" s="15"/>
      <c r="AB14" s="15"/>
      <c r="AC14" s="15"/>
      <c r="AD14" s="98"/>
      <c r="AE14" s="102"/>
      <c r="AF14" s="97"/>
      <c r="AG14" s="15"/>
      <c r="AH14" s="15"/>
      <c r="AI14" s="15"/>
      <c r="AJ14" s="15"/>
      <c r="AK14" s="15"/>
      <c r="AL14" s="102"/>
      <c r="AM14" s="97"/>
      <c r="AN14" s="15"/>
      <c r="AO14" s="15"/>
      <c r="AP14" s="15"/>
      <c r="AQ14" s="15"/>
      <c r="AR14" s="15"/>
      <c r="AS14" s="96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90"/>
      <c r="BI14" s="90"/>
      <c r="BJ14" s="90"/>
      <c r="BK14" s="90"/>
      <c r="BL14" s="90"/>
      <c r="BM14" s="90"/>
    </row>
    <row r="15" spans="1:65" s="3" customFormat="1" ht="19.5" thickBot="1" x14ac:dyDescent="0.3">
      <c r="A15" s="76">
        <v>4</v>
      </c>
      <c r="B15" s="74" t="s">
        <v>25</v>
      </c>
      <c r="C15" s="70"/>
      <c r="D15" s="14"/>
      <c r="E15" s="43">
        <v>46151</v>
      </c>
      <c r="F15" s="44"/>
      <c r="G15" s="51"/>
      <c r="H15" s="58">
        <v>6</v>
      </c>
      <c r="I15" s="56">
        <v>0</v>
      </c>
      <c r="J15" s="62"/>
      <c r="K15" s="32"/>
      <c r="L15" s="15"/>
      <c r="M15" s="15"/>
      <c r="N15" s="15"/>
      <c r="O15" s="15"/>
      <c r="P15" s="15"/>
      <c r="Q15" s="102"/>
      <c r="R15" s="97"/>
      <c r="S15" s="15"/>
      <c r="T15" s="15"/>
      <c r="U15" s="15"/>
      <c r="V15" s="15"/>
      <c r="W15" s="104"/>
      <c r="X15" s="102"/>
      <c r="Y15" s="97"/>
      <c r="Z15" s="15"/>
      <c r="AA15" s="15"/>
      <c r="AB15" s="15"/>
      <c r="AC15" s="15"/>
      <c r="AD15" s="15"/>
      <c r="AE15" s="102"/>
      <c r="AF15" s="97"/>
      <c r="AG15" s="15"/>
      <c r="AH15" s="15"/>
      <c r="AI15" s="15"/>
      <c r="AJ15" s="15"/>
      <c r="AK15" s="98"/>
      <c r="AL15" s="102"/>
      <c r="AM15" s="97"/>
      <c r="AN15" s="15"/>
      <c r="AO15" s="15"/>
      <c r="AP15" s="15"/>
      <c r="AQ15" s="15"/>
      <c r="AR15" s="15"/>
      <c r="AS15" s="96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90"/>
      <c r="BI15" s="90"/>
      <c r="BJ15" s="90"/>
      <c r="BK15" s="90"/>
      <c r="BL15" s="90"/>
      <c r="BM15" s="90"/>
    </row>
    <row r="16" spans="1:65" s="3" customFormat="1" ht="19.5" thickBot="1" x14ac:dyDescent="0.3">
      <c r="A16" s="77">
        <v>5</v>
      </c>
      <c r="B16" s="74" t="s">
        <v>25</v>
      </c>
      <c r="C16" s="70"/>
      <c r="D16" s="14"/>
      <c r="E16" s="43">
        <v>46154</v>
      </c>
      <c r="F16" s="44"/>
      <c r="G16" s="52"/>
      <c r="H16" s="56">
        <v>2</v>
      </c>
      <c r="I16" s="56">
        <v>20</v>
      </c>
      <c r="J16" s="62"/>
      <c r="K16" s="32"/>
      <c r="L16" s="15"/>
      <c r="M16" s="15"/>
      <c r="N16" s="15"/>
      <c r="O16" s="15"/>
      <c r="P16" s="15"/>
      <c r="Q16" s="102"/>
      <c r="R16" s="97"/>
      <c r="S16" s="15"/>
      <c r="T16" s="15"/>
      <c r="U16" s="15"/>
      <c r="V16" s="15"/>
      <c r="W16" s="15"/>
      <c r="X16" s="102"/>
      <c r="Y16" s="97"/>
      <c r="Z16" s="104"/>
      <c r="AA16" s="15"/>
      <c r="AB16" s="15"/>
      <c r="AC16" s="15"/>
      <c r="AD16" s="15"/>
      <c r="AE16" s="102"/>
      <c r="AF16" s="97"/>
      <c r="AG16" s="15"/>
      <c r="AH16" s="15"/>
      <c r="AI16" s="15"/>
      <c r="AJ16" s="15"/>
      <c r="AK16" s="15"/>
      <c r="AL16" s="103"/>
      <c r="AM16" s="97"/>
      <c r="AN16" s="15"/>
      <c r="AO16" s="15"/>
      <c r="AP16" s="15"/>
      <c r="AQ16" s="15"/>
      <c r="AR16" s="15"/>
      <c r="AS16" s="96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90"/>
      <c r="BI16" s="90"/>
      <c r="BJ16" s="90"/>
      <c r="BK16" s="90"/>
      <c r="BL16" s="90"/>
      <c r="BM16" s="90"/>
    </row>
    <row r="17" spans="1:65" s="4" customFormat="1" ht="19.5" thickBot="1" x14ac:dyDescent="0.3">
      <c r="A17" s="76">
        <v>6</v>
      </c>
      <c r="B17" s="74" t="s">
        <v>25</v>
      </c>
      <c r="C17" s="71"/>
      <c r="D17" s="16"/>
      <c r="E17" s="43">
        <v>46155</v>
      </c>
      <c r="F17" s="45"/>
      <c r="G17" s="52"/>
      <c r="H17" s="59">
        <v>5</v>
      </c>
      <c r="I17" s="59">
        <v>0</v>
      </c>
      <c r="J17" s="63"/>
      <c r="K17" s="32"/>
      <c r="L17" s="15"/>
      <c r="M17" s="15"/>
      <c r="N17" s="15"/>
      <c r="O17" s="15"/>
      <c r="P17" s="15"/>
      <c r="Q17" s="102"/>
      <c r="R17" s="97"/>
      <c r="S17" s="15"/>
      <c r="T17" s="15"/>
      <c r="U17" s="15"/>
      <c r="V17" s="15"/>
      <c r="W17" s="15"/>
      <c r="X17" s="102"/>
      <c r="Y17" s="97"/>
      <c r="Z17" s="15"/>
      <c r="AA17" s="104"/>
      <c r="AB17" s="15"/>
      <c r="AC17" s="15"/>
      <c r="AD17" s="15"/>
      <c r="AE17" s="102"/>
      <c r="AF17" s="97"/>
      <c r="AG17" s="15"/>
      <c r="AH17" s="15"/>
      <c r="AI17" s="15"/>
      <c r="AJ17" s="15"/>
      <c r="AK17" s="15"/>
      <c r="AL17" s="102"/>
      <c r="AM17" s="97"/>
      <c r="AN17" s="15"/>
      <c r="AO17" s="15"/>
      <c r="AP17" s="15"/>
      <c r="AQ17" s="15"/>
      <c r="AR17" s="15"/>
      <c r="AS17" s="96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90"/>
      <c r="BI17" s="90"/>
      <c r="BJ17" s="90"/>
      <c r="BK17" s="90"/>
      <c r="BL17" s="90"/>
      <c r="BM17" s="90"/>
    </row>
    <row r="18" spans="1:65" s="4" customFormat="1" ht="19.5" thickBot="1" x14ac:dyDescent="0.3">
      <c r="A18" s="76">
        <v>7</v>
      </c>
      <c r="B18" s="74" t="s">
        <v>25</v>
      </c>
      <c r="C18" s="71"/>
      <c r="D18" s="16"/>
      <c r="E18" s="43">
        <v>46158</v>
      </c>
      <c r="F18" s="45"/>
      <c r="G18" s="52"/>
      <c r="H18" s="59">
        <v>3</v>
      </c>
      <c r="I18" s="59">
        <v>0</v>
      </c>
      <c r="J18" s="63"/>
      <c r="K18" s="32"/>
      <c r="L18" s="15"/>
      <c r="M18" s="15"/>
      <c r="N18" s="15"/>
      <c r="O18" s="15"/>
      <c r="P18" s="15"/>
      <c r="Q18" s="102"/>
      <c r="R18" s="97"/>
      <c r="S18" s="15"/>
      <c r="T18" s="15"/>
      <c r="U18" s="15"/>
      <c r="V18" s="15"/>
      <c r="W18" s="15"/>
      <c r="X18" s="102"/>
      <c r="Y18" s="97"/>
      <c r="Z18" s="15"/>
      <c r="AA18" s="15"/>
      <c r="AB18" s="15"/>
      <c r="AC18" s="15"/>
      <c r="AD18" s="104"/>
      <c r="AE18" s="103"/>
      <c r="AF18" s="97"/>
      <c r="AG18" s="15"/>
      <c r="AH18" s="15"/>
      <c r="AI18" s="15"/>
      <c r="AJ18" s="15"/>
      <c r="AK18" s="98"/>
      <c r="AL18" s="102"/>
      <c r="AM18" s="97"/>
      <c r="AN18" s="15"/>
      <c r="AO18" s="15"/>
      <c r="AP18" s="15"/>
      <c r="AQ18" s="15"/>
      <c r="AR18" s="15"/>
      <c r="AS18" s="96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90"/>
      <c r="BI18" s="90"/>
      <c r="BJ18" s="90"/>
      <c r="BK18" s="90"/>
      <c r="BL18" s="90"/>
      <c r="BM18" s="90"/>
    </row>
    <row r="19" spans="1:65" s="4" customFormat="1" ht="19.5" thickBot="1" x14ac:dyDescent="0.3">
      <c r="A19" s="77">
        <v>8</v>
      </c>
      <c r="B19" s="74" t="s">
        <v>25</v>
      </c>
      <c r="C19" s="71"/>
      <c r="D19" s="16"/>
      <c r="E19" s="43">
        <v>46160</v>
      </c>
      <c r="F19" s="45"/>
      <c r="G19" s="52"/>
      <c r="H19" s="59">
        <v>8</v>
      </c>
      <c r="I19" s="59">
        <v>0</v>
      </c>
      <c r="J19" s="63"/>
      <c r="K19" s="32"/>
      <c r="L19" s="15"/>
      <c r="M19" s="15"/>
      <c r="N19" s="15"/>
      <c r="O19" s="15"/>
      <c r="P19" s="15"/>
      <c r="Q19" s="102"/>
      <c r="R19" s="97"/>
      <c r="S19" s="15"/>
      <c r="T19" s="15"/>
      <c r="U19" s="15"/>
      <c r="V19" s="15"/>
      <c r="W19" s="15"/>
      <c r="X19" s="102"/>
      <c r="Y19" s="97"/>
      <c r="Z19" s="15"/>
      <c r="AA19" s="15"/>
      <c r="AB19" s="15"/>
      <c r="AC19" s="15"/>
      <c r="AD19" s="15"/>
      <c r="AE19" s="103"/>
      <c r="AF19" s="104"/>
      <c r="AG19" s="15"/>
      <c r="AH19" s="15"/>
      <c r="AI19" s="15"/>
      <c r="AJ19" s="15"/>
      <c r="AK19" s="15"/>
      <c r="AL19" s="103"/>
      <c r="AM19" s="97"/>
      <c r="AN19" s="15"/>
      <c r="AO19" s="15"/>
      <c r="AP19" s="15"/>
      <c r="AQ19" s="15"/>
      <c r="AR19" s="15"/>
      <c r="AS19" s="96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90"/>
      <c r="BI19" s="90"/>
      <c r="BJ19" s="90"/>
      <c r="BK19" s="90"/>
      <c r="BL19" s="90"/>
      <c r="BM19" s="90"/>
    </row>
    <row r="20" spans="1:65" s="4" customFormat="1" ht="19.5" thickBot="1" x14ac:dyDescent="0.3">
      <c r="A20" s="76">
        <v>9</v>
      </c>
      <c r="B20" s="74" t="s">
        <v>25</v>
      </c>
      <c r="C20" s="71"/>
      <c r="D20" s="16"/>
      <c r="E20" s="43">
        <v>46162</v>
      </c>
      <c r="F20" s="45"/>
      <c r="G20" s="52"/>
      <c r="H20" s="59">
        <v>4</v>
      </c>
      <c r="I20" s="59">
        <v>0</v>
      </c>
      <c r="J20" s="63"/>
      <c r="K20" s="32"/>
      <c r="L20" s="15"/>
      <c r="M20" s="15"/>
      <c r="N20" s="15"/>
      <c r="O20" s="15"/>
      <c r="P20" s="15"/>
      <c r="Q20" s="102"/>
      <c r="R20" s="97"/>
      <c r="S20" s="15"/>
      <c r="T20" s="15"/>
      <c r="U20" s="15"/>
      <c r="V20" s="15"/>
      <c r="W20" s="15"/>
      <c r="X20" s="102"/>
      <c r="Y20" s="97"/>
      <c r="Z20" s="15"/>
      <c r="AA20" s="15"/>
      <c r="AB20" s="15"/>
      <c r="AC20" s="15"/>
      <c r="AD20" s="15"/>
      <c r="AE20" s="103"/>
      <c r="AF20" s="97"/>
      <c r="AG20" s="15"/>
      <c r="AH20" s="104"/>
      <c r="AI20" s="15"/>
      <c r="AJ20" s="15"/>
      <c r="AK20" s="98"/>
      <c r="AL20" s="103"/>
      <c r="AM20" s="97"/>
      <c r="AN20" s="15"/>
      <c r="AO20" s="15"/>
      <c r="AP20" s="15"/>
      <c r="AQ20" s="15"/>
      <c r="AR20" s="15"/>
      <c r="AS20" s="96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90"/>
      <c r="BI20" s="90"/>
      <c r="BJ20" s="90"/>
      <c r="BK20" s="90"/>
      <c r="BL20" s="90"/>
      <c r="BM20" s="90"/>
    </row>
    <row r="21" spans="1:65" s="6" customFormat="1" ht="19.5" thickBot="1" x14ac:dyDescent="0.3">
      <c r="A21" s="19"/>
      <c r="B21" s="5" t="s">
        <v>13</v>
      </c>
      <c r="D21" s="7"/>
      <c r="E21" s="8"/>
      <c r="F21" s="8"/>
      <c r="G21" s="9"/>
      <c r="H21" s="36">
        <v>48</v>
      </c>
      <c r="I21" s="36">
        <v>0</v>
      </c>
      <c r="J21" s="83"/>
      <c r="K21" s="99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90"/>
      <c r="BI21" s="90"/>
      <c r="BJ21" s="90"/>
      <c r="BK21" s="90"/>
      <c r="BL21" s="90"/>
      <c r="BM21" s="90"/>
    </row>
    <row r="22" spans="1:65" ht="15" customHeight="1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</row>
    <row r="23" spans="1:65" ht="15.75" thickBot="1" x14ac:dyDescent="0.3">
      <c r="A23" s="10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</row>
    <row r="24" spans="1:65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</row>
    <row r="25" spans="1:65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</row>
    <row r="26" spans="1:65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</row>
    <row r="27" spans="1:65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</row>
    <row r="28" spans="1:65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</row>
    <row r="29" spans="1:65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</row>
    <row r="30" spans="1:65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</row>
    <row r="31" spans="1:65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</row>
    <row r="32" spans="1:65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</row>
    <row r="33" spans="1:65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</row>
    <row r="34" spans="1:65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</row>
    <row r="35" spans="1:65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</row>
    <row r="36" spans="1:65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</row>
    <row r="37" spans="1:65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</row>
    <row r="38" spans="1:65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</row>
    <row r="39" spans="1:65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</row>
    <row r="40" spans="1:65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</row>
    <row r="41" spans="1:65" x14ac:dyDescent="0.25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</row>
    <row r="42" spans="1:65" x14ac:dyDescent="0.25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</row>
    <row r="43" spans="1:65" x14ac:dyDescent="0.25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</row>
    <row r="44" spans="1:65" x14ac:dyDescent="0.2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</row>
    <row r="45" spans="1:65" x14ac:dyDescent="0.2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</row>
    <row r="46" spans="1:65" x14ac:dyDescent="0.2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</row>
    <row r="47" spans="1:65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</row>
    <row r="48" spans="1:65" x14ac:dyDescent="0.2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</row>
    <row r="49" spans="1:65" x14ac:dyDescent="0.2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</row>
    <row r="50" spans="1:65" x14ac:dyDescent="0.2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</row>
    <row r="51" spans="1:65" x14ac:dyDescent="0.2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</row>
    <row r="52" spans="1:65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</row>
    <row r="53" spans="1:65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</row>
    <row r="54" spans="1:65" x14ac:dyDescent="0.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</row>
    <row r="55" spans="1:65" x14ac:dyDescent="0.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</row>
    <row r="56" spans="1:65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</row>
    <row r="57" spans="1:65" x14ac:dyDescent="0.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</row>
    <row r="58" spans="1:65" x14ac:dyDescent="0.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</row>
    <row r="59" spans="1:65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</row>
    <row r="60" spans="1:65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</row>
    <row r="61" spans="1:65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</row>
    <row r="62" spans="1:65" x14ac:dyDescent="0.2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</row>
    <row r="63" spans="1:65" x14ac:dyDescent="0.2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</row>
    <row r="64" spans="1:65" x14ac:dyDescent="0.2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</row>
    <row r="65" spans="1:65" x14ac:dyDescent="0.2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</row>
    <row r="66" spans="1:65" x14ac:dyDescent="0.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</row>
    <row r="67" spans="1:65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</row>
    <row r="68" spans="1:65" x14ac:dyDescent="0.2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</row>
    <row r="69" spans="1:65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</row>
    <row r="70" spans="1:65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</row>
    <row r="71" spans="1:65" x14ac:dyDescent="0.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</row>
    <row r="72" spans="1:65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</row>
    <row r="73" spans="1:65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</row>
    <row r="74" spans="1:65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</row>
    <row r="75" spans="1:65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</row>
    <row r="76" spans="1:65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</row>
    <row r="77" spans="1:65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</row>
    <row r="78" spans="1:65" x14ac:dyDescent="0.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</row>
    <row r="79" spans="1:65" x14ac:dyDescent="0.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</row>
    <row r="80" spans="1:65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</row>
    <row r="81" spans="1:65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</row>
    <row r="82" spans="1:65" x14ac:dyDescent="0.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</row>
    <row r="83" spans="1:65" x14ac:dyDescent="0.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</row>
    <row r="84" spans="1:65" x14ac:dyDescent="0.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</row>
    <row r="85" spans="1:65" x14ac:dyDescent="0.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</row>
    <row r="86" spans="1:65" x14ac:dyDescent="0.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</row>
    <row r="87" spans="1:65" x14ac:dyDescent="0.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</row>
    <row r="88" spans="1:65" x14ac:dyDescent="0.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</row>
    <row r="89" spans="1:65" x14ac:dyDescent="0.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</row>
    <row r="90" spans="1:65" x14ac:dyDescent="0.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</row>
    <row r="91" spans="1:65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</row>
    <row r="92" spans="1:65" x14ac:dyDescent="0.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</row>
    <row r="93" spans="1:65" x14ac:dyDescent="0.2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</row>
    <row r="94" spans="1:65" x14ac:dyDescent="0.2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</row>
    <row r="95" spans="1:65" x14ac:dyDescent="0.2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</row>
    <row r="96" spans="1:65" x14ac:dyDescent="0.2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</row>
    <row r="97" spans="1:65" x14ac:dyDescent="0.2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</row>
    <row r="98" spans="1:65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</row>
    <row r="99" spans="1:65" x14ac:dyDescent="0.2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</row>
    <row r="100" spans="1:65" x14ac:dyDescent="0.2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</row>
    <row r="101" spans="1:65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</row>
    <row r="102" spans="1:65" x14ac:dyDescent="0.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</row>
    <row r="103" spans="1:65" x14ac:dyDescent="0.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</row>
    <row r="104" spans="1:65" x14ac:dyDescent="0.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</row>
    <row r="105" spans="1:65" x14ac:dyDescent="0.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</row>
    <row r="106" spans="1:65" x14ac:dyDescent="0.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</row>
    <row r="107" spans="1:65" x14ac:dyDescent="0.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</row>
    <row r="108" spans="1:65" x14ac:dyDescent="0.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</row>
    <row r="109" spans="1:65" x14ac:dyDescent="0.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</row>
    <row r="110" spans="1:65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</row>
    <row r="111" spans="1:65" x14ac:dyDescent="0.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</row>
    <row r="112" spans="1:65" x14ac:dyDescent="0.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</row>
    <row r="113" spans="1:65" x14ac:dyDescent="0.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</row>
    <row r="114" spans="1:65" x14ac:dyDescent="0.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</row>
    <row r="115" spans="1:65" x14ac:dyDescent="0.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</row>
    <row r="116" spans="1:65" x14ac:dyDescent="0.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</row>
    <row r="117" spans="1:65" x14ac:dyDescent="0.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</row>
    <row r="118" spans="1:65" x14ac:dyDescent="0.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</row>
    <row r="119" spans="1:65" x14ac:dyDescent="0.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</row>
    <row r="120" spans="1:65" x14ac:dyDescent="0.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</row>
    <row r="121" spans="1:65" x14ac:dyDescent="0.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</row>
    <row r="122" spans="1:65" x14ac:dyDescent="0.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</row>
    <row r="123" spans="1:65" x14ac:dyDescent="0.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</row>
    <row r="124" spans="1:65" x14ac:dyDescent="0.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</row>
    <row r="125" spans="1:65" x14ac:dyDescent="0.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</row>
    <row r="126" spans="1:65" x14ac:dyDescent="0.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</row>
    <row r="127" spans="1:65" x14ac:dyDescent="0.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</row>
    <row r="128" spans="1:65" x14ac:dyDescent="0.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</row>
    <row r="129" spans="1:65" x14ac:dyDescent="0.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</row>
    <row r="130" spans="1:65" x14ac:dyDescent="0.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</row>
    <row r="131" spans="1:65" x14ac:dyDescent="0.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</row>
    <row r="132" spans="1:65" x14ac:dyDescent="0.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</row>
    <row r="133" spans="1:65" x14ac:dyDescent="0.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</row>
    <row r="134" spans="1:65" x14ac:dyDescent="0.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</row>
    <row r="135" spans="1:65" x14ac:dyDescent="0.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</row>
    <row r="136" spans="1:65" x14ac:dyDescent="0.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</row>
    <row r="137" spans="1:65" x14ac:dyDescent="0.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</row>
    <row r="138" spans="1:65" x14ac:dyDescent="0.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</row>
    <row r="139" spans="1:65" x14ac:dyDescent="0.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</row>
    <row r="140" spans="1:65" x14ac:dyDescent="0.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</row>
    <row r="141" spans="1:65" x14ac:dyDescent="0.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</row>
    <row r="142" spans="1:65" x14ac:dyDescent="0.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</row>
    <row r="143" spans="1:65" x14ac:dyDescent="0.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</row>
    <row r="144" spans="1:65" x14ac:dyDescent="0.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</row>
    <row r="145" spans="1:65" x14ac:dyDescent="0.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</row>
    <row r="146" spans="1:65" x14ac:dyDescent="0.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</row>
    <row r="147" spans="1:65" x14ac:dyDescent="0.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</row>
    <row r="148" spans="1:65" x14ac:dyDescent="0.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</row>
    <row r="149" spans="1:65" x14ac:dyDescent="0.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</row>
    <row r="150" spans="1:65" x14ac:dyDescent="0.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</row>
    <row r="151" spans="1:65" x14ac:dyDescent="0.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</row>
    <row r="152" spans="1:65" x14ac:dyDescent="0.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</row>
    <row r="153" spans="1:65" x14ac:dyDescent="0.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</row>
    <row r="154" spans="1:65" x14ac:dyDescent="0.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</row>
    <row r="155" spans="1:65" x14ac:dyDescent="0.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</row>
    <row r="156" spans="1:65" x14ac:dyDescent="0.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</row>
    <row r="157" spans="1:65" x14ac:dyDescent="0.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</row>
    <row r="158" spans="1:65" x14ac:dyDescent="0.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</row>
    <row r="159" spans="1:65" x14ac:dyDescent="0.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</row>
    <row r="160" spans="1:65" x14ac:dyDescent="0.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</row>
    <row r="161" spans="1:65" x14ac:dyDescent="0.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</row>
    <row r="162" spans="1:65" x14ac:dyDescent="0.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</row>
    <row r="163" spans="1:65" x14ac:dyDescent="0.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</row>
    <row r="164" spans="1:65" x14ac:dyDescent="0.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</row>
    <row r="165" spans="1:65" x14ac:dyDescent="0.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</row>
    <row r="166" spans="1:65" x14ac:dyDescent="0.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</row>
    <row r="167" spans="1:65" x14ac:dyDescent="0.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</row>
    <row r="168" spans="1:65" x14ac:dyDescent="0.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</row>
    <row r="169" spans="1:65" x14ac:dyDescent="0.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</row>
    <row r="170" spans="1:65" x14ac:dyDescent="0.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</row>
    <row r="171" spans="1:65" x14ac:dyDescent="0.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</row>
    <row r="172" spans="1:65" x14ac:dyDescent="0.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</row>
    <row r="173" spans="1:65" x14ac:dyDescent="0.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</row>
    <row r="174" spans="1:65" x14ac:dyDescent="0.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</row>
    <row r="175" spans="1:65" x14ac:dyDescent="0.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</row>
    <row r="176" spans="1:65" x14ac:dyDescent="0.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</row>
    <row r="177" spans="1:65" x14ac:dyDescent="0.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</row>
    <row r="178" spans="1:65" x14ac:dyDescent="0.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</row>
    <row r="179" spans="1:65" x14ac:dyDescent="0.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</row>
    <row r="180" spans="1:65" x14ac:dyDescent="0.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</row>
    <row r="181" spans="1:65" x14ac:dyDescent="0.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</row>
    <row r="182" spans="1:65" x14ac:dyDescent="0.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</row>
    <row r="183" spans="1:65" x14ac:dyDescent="0.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</row>
    <row r="184" spans="1:65" x14ac:dyDescent="0.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</row>
    <row r="185" spans="1:65" x14ac:dyDescent="0.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</row>
    <row r="186" spans="1:65" x14ac:dyDescent="0.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</row>
    <row r="187" spans="1:65" x14ac:dyDescent="0.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</row>
    <row r="188" spans="1:65" x14ac:dyDescent="0.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</row>
    <row r="189" spans="1:65" x14ac:dyDescent="0.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</row>
    <row r="190" spans="1:65" x14ac:dyDescent="0.2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</row>
    <row r="191" spans="1:65" x14ac:dyDescent="0.2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</row>
    <row r="192" spans="1:65" x14ac:dyDescent="0.2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</row>
    <row r="193" spans="1:65" x14ac:dyDescent="0.2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</row>
    <row r="194" spans="1:65" x14ac:dyDescent="0.2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</row>
    <row r="195" spans="1:65" x14ac:dyDescent="0.2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</row>
    <row r="196" spans="1:65" x14ac:dyDescent="0.2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</row>
    <row r="197" spans="1:65" x14ac:dyDescent="0.2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</row>
    <row r="198" spans="1:65" x14ac:dyDescent="0.2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</row>
    <row r="199" spans="1:65" x14ac:dyDescent="0.2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</row>
    <row r="200" spans="1:65" x14ac:dyDescent="0.2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</row>
    <row r="201" spans="1:65" x14ac:dyDescent="0.2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</row>
    <row r="202" spans="1:65" x14ac:dyDescent="0.2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</row>
    <row r="203" spans="1:65" x14ac:dyDescent="0.2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</row>
    <row r="204" spans="1:65" x14ac:dyDescent="0.2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</row>
    <row r="205" spans="1:65" x14ac:dyDescent="0.2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</row>
    <row r="206" spans="1:65" x14ac:dyDescent="0.2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</row>
    <row r="207" spans="1:65" x14ac:dyDescent="0.2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</row>
    <row r="208" spans="1:65" x14ac:dyDescent="0.2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</row>
    <row r="209" spans="1:65" x14ac:dyDescent="0.2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</row>
    <row r="210" spans="1:65" x14ac:dyDescent="0.2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</row>
    <row r="211" spans="1:65" x14ac:dyDescent="0.2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</row>
    <row r="212" spans="1:65" x14ac:dyDescent="0.2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</row>
    <row r="213" spans="1:65" x14ac:dyDescent="0.2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</row>
    <row r="214" spans="1:65" x14ac:dyDescent="0.2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</row>
    <row r="215" spans="1:65" x14ac:dyDescent="0.2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</row>
    <row r="216" spans="1:65" x14ac:dyDescent="0.2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</row>
    <row r="217" spans="1:65" x14ac:dyDescent="0.2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</row>
    <row r="218" spans="1:65" x14ac:dyDescent="0.2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</row>
    <row r="219" spans="1:65" x14ac:dyDescent="0.2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</row>
    <row r="220" spans="1:65" x14ac:dyDescent="0.2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</row>
    <row r="221" spans="1:65" x14ac:dyDescent="0.2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</row>
    <row r="222" spans="1:65" x14ac:dyDescent="0.2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</row>
    <row r="223" spans="1:65" x14ac:dyDescent="0.2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</row>
    <row r="224" spans="1:65" x14ac:dyDescent="0.2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</row>
    <row r="225" spans="1:65" x14ac:dyDescent="0.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</row>
    <row r="226" spans="1:65" x14ac:dyDescent="0.2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</row>
    <row r="227" spans="1:65" x14ac:dyDescent="0.2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</row>
    <row r="228" spans="1:65" x14ac:dyDescent="0.2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</row>
    <row r="229" spans="1:65" x14ac:dyDescent="0.2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</row>
    <row r="230" spans="1:65" x14ac:dyDescent="0.2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</row>
    <row r="231" spans="1:65" x14ac:dyDescent="0.2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</row>
    <row r="232" spans="1:65" x14ac:dyDescent="0.2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</row>
    <row r="233" spans="1:65" x14ac:dyDescent="0.2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</row>
    <row r="234" spans="1:65" x14ac:dyDescent="0.2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</row>
    <row r="235" spans="1:65" x14ac:dyDescent="0.2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</row>
    <row r="236" spans="1:65" x14ac:dyDescent="0.2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</row>
    <row r="237" spans="1:65" x14ac:dyDescent="0.2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</row>
    <row r="238" spans="1:65" x14ac:dyDescent="0.2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</row>
    <row r="239" spans="1:65" x14ac:dyDescent="0.2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</row>
    <row r="240" spans="1:65" x14ac:dyDescent="0.2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</row>
    <row r="241" spans="1:65" x14ac:dyDescent="0.2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</row>
    <row r="242" spans="1:65" x14ac:dyDescent="0.2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</row>
    <row r="243" spans="1:65" x14ac:dyDescent="0.2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</row>
    <row r="244" spans="1:65" x14ac:dyDescent="0.2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</row>
    <row r="245" spans="1:65" x14ac:dyDescent="0.2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</row>
    <row r="246" spans="1:65" x14ac:dyDescent="0.2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</row>
    <row r="247" spans="1:65" x14ac:dyDescent="0.2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</row>
    <row r="248" spans="1:65" x14ac:dyDescent="0.2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</row>
    <row r="249" spans="1:65" x14ac:dyDescent="0.2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</row>
    <row r="250" spans="1:65" x14ac:dyDescent="0.2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</row>
    <row r="251" spans="1:65" x14ac:dyDescent="0.2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</row>
    <row r="252" spans="1:65" x14ac:dyDescent="0.2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</row>
    <row r="253" spans="1:65" x14ac:dyDescent="0.2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</row>
    <row r="254" spans="1:65" x14ac:dyDescent="0.2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</row>
    <row r="255" spans="1:65" x14ac:dyDescent="0.2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</row>
    <row r="256" spans="1:65" x14ac:dyDescent="0.2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</row>
    <row r="257" spans="1:65" x14ac:dyDescent="0.2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</row>
    <row r="258" spans="1:65" x14ac:dyDescent="0.2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</row>
    <row r="259" spans="1:65" x14ac:dyDescent="0.2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</row>
    <row r="260" spans="1:65" x14ac:dyDescent="0.2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</row>
    <row r="261" spans="1:65" x14ac:dyDescent="0.2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</row>
    <row r="262" spans="1:65" x14ac:dyDescent="0.2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</row>
    <row r="263" spans="1:65" x14ac:dyDescent="0.2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</row>
    <row r="264" spans="1:65" x14ac:dyDescent="0.2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</row>
    <row r="265" spans="1:65" x14ac:dyDescent="0.2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</row>
    <row r="266" spans="1:65" x14ac:dyDescent="0.2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</row>
    <row r="267" spans="1:65" x14ac:dyDescent="0.2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</row>
    <row r="268" spans="1:65" x14ac:dyDescent="0.2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</row>
    <row r="269" spans="1:65" x14ac:dyDescent="0.2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</row>
    <row r="270" spans="1:65" x14ac:dyDescent="0.2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</row>
    <row r="271" spans="1:65" x14ac:dyDescent="0.2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</row>
    <row r="272" spans="1:65" x14ac:dyDescent="0.2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</row>
    <row r="273" spans="1:65" x14ac:dyDescent="0.2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</row>
    <row r="274" spans="1:65" x14ac:dyDescent="0.2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</row>
    <row r="275" spans="1:65" x14ac:dyDescent="0.2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</row>
    <row r="276" spans="1:65" x14ac:dyDescent="0.2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</row>
    <row r="277" spans="1:65" x14ac:dyDescent="0.2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</row>
    <row r="278" spans="1:65" x14ac:dyDescent="0.2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</row>
    <row r="279" spans="1:65" x14ac:dyDescent="0.2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</row>
    <row r="280" spans="1:65" x14ac:dyDescent="0.2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</row>
    <row r="281" spans="1:65" x14ac:dyDescent="0.2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</row>
    <row r="282" spans="1:65" x14ac:dyDescent="0.2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</row>
    <row r="283" spans="1:65" x14ac:dyDescent="0.2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</row>
    <row r="284" spans="1:65" x14ac:dyDescent="0.2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</row>
    <row r="285" spans="1:65" x14ac:dyDescent="0.2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</row>
    <row r="286" spans="1:65" x14ac:dyDescent="0.2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</row>
    <row r="287" spans="1:65" x14ac:dyDescent="0.2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</row>
    <row r="288" spans="1:65" x14ac:dyDescent="0.2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</row>
    <row r="289" spans="1:65" x14ac:dyDescent="0.2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</row>
    <row r="290" spans="1:65" x14ac:dyDescent="0.2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</row>
    <row r="291" spans="1:65" x14ac:dyDescent="0.2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</row>
    <row r="292" spans="1:65" x14ac:dyDescent="0.2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</row>
    <row r="293" spans="1:65" x14ac:dyDescent="0.2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</row>
    <row r="294" spans="1:65" x14ac:dyDescent="0.2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</row>
    <row r="295" spans="1:65" x14ac:dyDescent="0.2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</row>
    <row r="296" spans="1:65" x14ac:dyDescent="0.2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</row>
    <row r="297" spans="1:65" x14ac:dyDescent="0.2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</row>
    <row r="298" spans="1:65" x14ac:dyDescent="0.2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</row>
    <row r="299" spans="1:65" x14ac:dyDescent="0.2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</row>
    <row r="300" spans="1:65" x14ac:dyDescent="0.2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</row>
    <row r="301" spans="1:65" x14ac:dyDescent="0.2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</row>
    <row r="302" spans="1:65" x14ac:dyDescent="0.2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</row>
    <row r="303" spans="1:65" x14ac:dyDescent="0.2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</row>
    <row r="304" spans="1:65" x14ac:dyDescent="0.2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</row>
    <row r="305" spans="1:65" x14ac:dyDescent="0.2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</row>
    <row r="306" spans="1:65" x14ac:dyDescent="0.2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</row>
    <row r="307" spans="1:65" x14ac:dyDescent="0.2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</row>
    <row r="308" spans="1:65" x14ac:dyDescent="0.2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</row>
    <row r="309" spans="1:65" x14ac:dyDescent="0.2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</row>
    <row r="310" spans="1:65" x14ac:dyDescent="0.2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</row>
    <row r="311" spans="1:65" x14ac:dyDescent="0.2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</row>
    <row r="312" spans="1:65" x14ac:dyDescent="0.2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</row>
    <row r="313" spans="1:65" x14ac:dyDescent="0.2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</row>
    <row r="314" spans="1:65" x14ac:dyDescent="0.2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</row>
    <row r="315" spans="1:65" x14ac:dyDescent="0.2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</row>
    <row r="316" spans="1:65" x14ac:dyDescent="0.2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</row>
    <row r="317" spans="1:65" x14ac:dyDescent="0.2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</row>
    <row r="318" spans="1:65" x14ac:dyDescent="0.2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</row>
    <row r="319" spans="1:65" x14ac:dyDescent="0.2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</row>
    <row r="320" spans="1:65" x14ac:dyDescent="0.2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</row>
    <row r="321" spans="1:65" x14ac:dyDescent="0.2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</row>
    <row r="322" spans="1:65" x14ac:dyDescent="0.2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</row>
    <row r="323" spans="1:65" x14ac:dyDescent="0.2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</row>
    <row r="324" spans="1:65" x14ac:dyDescent="0.2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</row>
    <row r="325" spans="1:65" x14ac:dyDescent="0.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</row>
    <row r="326" spans="1:65" x14ac:dyDescent="0.2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</row>
    <row r="327" spans="1:65" x14ac:dyDescent="0.2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</row>
    <row r="328" spans="1:65" x14ac:dyDescent="0.2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</row>
    <row r="329" spans="1:65" x14ac:dyDescent="0.2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</row>
    <row r="330" spans="1:65" x14ac:dyDescent="0.2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</row>
    <row r="331" spans="1:65" x14ac:dyDescent="0.2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</row>
    <row r="332" spans="1:65" x14ac:dyDescent="0.2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</row>
    <row r="333" spans="1:65" x14ac:dyDescent="0.2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</row>
    <row r="334" spans="1:65" x14ac:dyDescent="0.2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</row>
    <row r="335" spans="1:65" x14ac:dyDescent="0.2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</row>
    <row r="336" spans="1:65" x14ac:dyDescent="0.2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</row>
    <row r="337" spans="1:65" x14ac:dyDescent="0.2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</row>
    <row r="338" spans="1:65" x14ac:dyDescent="0.2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</row>
    <row r="339" spans="1:65" x14ac:dyDescent="0.2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</row>
    <row r="340" spans="1:65" x14ac:dyDescent="0.2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</row>
    <row r="341" spans="1:65" x14ac:dyDescent="0.2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</row>
    <row r="342" spans="1:65" x14ac:dyDescent="0.2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</row>
    <row r="343" spans="1:65" x14ac:dyDescent="0.2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</row>
    <row r="344" spans="1:65" x14ac:dyDescent="0.2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</row>
    <row r="345" spans="1:65" x14ac:dyDescent="0.2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</row>
    <row r="346" spans="1:65" x14ac:dyDescent="0.2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</row>
    <row r="347" spans="1:65" x14ac:dyDescent="0.2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</row>
    <row r="348" spans="1:65" x14ac:dyDescent="0.2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</row>
    <row r="349" spans="1:65" x14ac:dyDescent="0.2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</row>
    <row r="350" spans="1:65" x14ac:dyDescent="0.2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</row>
    <row r="351" spans="1:65" x14ac:dyDescent="0.2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</row>
    <row r="352" spans="1:65" x14ac:dyDescent="0.2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</row>
    <row r="353" spans="1:65" x14ac:dyDescent="0.2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</row>
    <row r="354" spans="1:65" x14ac:dyDescent="0.2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</row>
    <row r="355" spans="1:65" x14ac:dyDescent="0.2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</row>
    <row r="356" spans="1:65" x14ac:dyDescent="0.2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</row>
    <row r="357" spans="1:65" x14ac:dyDescent="0.2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</row>
    <row r="358" spans="1:65" x14ac:dyDescent="0.2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</row>
    <row r="359" spans="1:65" x14ac:dyDescent="0.2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</row>
    <row r="360" spans="1:65" x14ac:dyDescent="0.2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</row>
    <row r="361" spans="1:65" x14ac:dyDescent="0.2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</row>
    <row r="362" spans="1:65" x14ac:dyDescent="0.2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</row>
    <row r="363" spans="1:65" x14ac:dyDescent="0.2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</row>
    <row r="364" spans="1:65" x14ac:dyDescent="0.2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</row>
    <row r="365" spans="1:65" x14ac:dyDescent="0.2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</row>
    <row r="366" spans="1:65" x14ac:dyDescent="0.2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</row>
    <row r="367" spans="1:65" x14ac:dyDescent="0.2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</row>
    <row r="368" spans="1:65" x14ac:dyDescent="0.2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</row>
    <row r="369" spans="1:65" x14ac:dyDescent="0.2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</row>
    <row r="370" spans="1:65" x14ac:dyDescent="0.2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</row>
    <row r="371" spans="1:65" x14ac:dyDescent="0.2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</row>
    <row r="372" spans="1:65" x14ac:dyDescent="0.2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</row>
    <row r="373" spans="1:65" x14ac:dyDescent="0.2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</row>
    <row r="374" spans="1:65" x14ac:dyDescent="0.2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</row>
    <row r="375" spans="1:65" x14ac:dyDescent="0.2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</row>
    <row r="376" spans="1:65" x14ac:dyDescent="0.2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</row>
    <row r="377" spans="1:65" x14ac:dyDescent="0.2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</row>
    <row r="378" spans="1:65" x14ac:dyDescent="0.2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</row>
    <row r="379" spans="1:65" x14ac:dyDescent="0.2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</row>
    <row r="380" spans="1:65" x14ac:dyDescent="0.2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</row>
    <row r="381" spans="1:65" x14ac:dyDescent="0.2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</row>
    <row r="382" spans="1:65" x14ac:dyDescent="0.2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</row>
    <row r="383" spans="1:65" x14ac:dyDescent="0.2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</row>
    <row r="384" spans="1:65" x14ac:dyDescent="0.2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</row>
    <row r="385" spans="1:65" x14ac:dyDescent="0.2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</row>
    <row r="386" spans="1:65" x14ac:dyDescent="0.2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</row>
    <row r="387" spans="1:65" x14ac:dyDescent="0.2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</row>
    <row r="388" spans="1:65" x14ac:dyDescent="0.2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</row>
    <row r="389" spans="1:65" x14ac:dyDescent="0.2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</row>
    <row r="390" spans="1:65" x14ac:dyDescent="0.2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</row>
    <row r="391" spans="1:65" x14ac:dyDescent="0.2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</row>
    <row r="392" spans="1:65" x14ac:dyDescent="0.2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</row>
    <row r="393" spans="1:65" x14ac:dyDescent="0.2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</row>
    <row r="394" spans="1:65" x14ac:dyDescent="0.2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</row>
    <row r="395" spans="1:65" x14ac:dyDescent="0.2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</row>
    <row r="396" spans="1:65" x14ac:dyDescent="0.2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</row>
    <row r="397" spans="1:65" x14ac:dyDescent="0.2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</row>
    <row r="398" spans="1:65" x14ac:dyDescent="0.2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</row>
    <row r="399" spans="1:65" x14ac:dyDescent="0.2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</row>
    <row r="400" spans="1:65" x14ac:dyDescent="0.2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</row>
    <row r="401" spans="1:65" x14ac:dyDescent="0.2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</row>
    <row r="402" spans="1:65" x14ac:dyDescent="0.2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</row>
    <row r="403" spans="1:65" x14ac:dyDescent="0.2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</row>
    <row r="404" spans="1:65" x14ac:dyDescent="0.2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</row>
    <row r="405" spans="1:65" x14ac:dyDescent="0.2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</row>
    <row r="406" spans="1:65" x14ac:dyDescent="0.2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</row>
    <row r="407" spans="1:65" x14ac:dyDescent="0.2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</row>
    <row r="408" spans="1:65" x14ac:dyDescent="0.2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</row>
    <row r="409" spans="1:65" x14ac:dyDescent="0.2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</row>
    <row r="410" spans="1:65" x14ac:dyDescent="0.2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</row>
    <row r="411" spans="1:65" x14ac:dyDescent="0.2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</row>
    <row r="412" spans="1:65" x14ac:dyDescent="0.2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</row>
    <row r="413" spans="1:65" x14ac:dyDescent="0.2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</row>
    <row r="414" spans="1:65" x14ac:dyDescent="0.2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</row>
    <row r="415" spans="1:65" x14ac:dyDescent="0.2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</row>
    <row r="416" spans="1:65" x14ac:dyDescent="0.2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</row>
    <row r="417" spans="1:65" x14ac:dyDescent="0.2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</row>
    <row r="418" spans="1:65" x14ac:dyDescent="0.2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</row>
    <row r="419" spans="1:65" x14ac:dyDescent="0.2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</row>
    <row r="420" spans="1:65" x14ac:dyDescent="0.2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</row>
    <row r="421" spans="1:65" x14ac:dyDescent="0.2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</row>
    <row r="422" spans="1:65" x14ac:dyDescent="0.2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</row>
    <row r="423" spans="1:65" x14ac:dyDescent="0.2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</row>
    <row r="424" spans="1:65" x14ac:dyDescent="0.2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</row>
    <row r="425" spans="1:65" x14ac:dyDescent="0.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</row>
    <row r="426" spans="1:65" x14ac:dyDescent="0.2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</row>
    <row r="427" spans="1:65" x14ac:dyDescent="0.2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</row>
    <row r="428" spans="1:65" x14ac:dyDescent="0.2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</row>
    <row r="429" spans="1:65" x14ac:dyDescent="0.2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</row>
    <row r="430" spans="1:65" x14ac:dyDescent="0.2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</row>
    <row r="431" spans="1:65" x14ac:dyDescent="0.2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</row>
    <row r="432" spans="1:65" x14ac:dyDescent="0.2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</row>
    <row r="433" spans="1:65" x14ac:dyDescent="0.2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</row>
    <row r="434" spans="1:65" x14ac:dyDescent="0.2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</row>
    <row r="435" spans="1:65" x14ac:dyDescent="0.2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</row>
    <row r="436" spans="1:65" x14ac:dyDescent="0.2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</row>
    <row r="437" spans="1:65" x14ac:dyDescent="0.2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</row>
    <row r="438" spans="1:65" x14ac:dyDescent="0.2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</row>
    <row r="439" spans="1:65" x14ac:dyDescent="0.2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</row>
    <row r="440" spans="1:65" x14ac:dyDescent="0.2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</row>
    <row r="441" spans="1:65" x14ac:dyDescent="0.2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</row>
    <row r="442" spans="1:65" x14ac:dyDescent="0.2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</row>
    <row r="443" spans="1:65" x14ac:dyDescent="0.2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</row>
    <row r="444" spans="1:65" x14ac:dyDescent="0.2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</row>
    <row r="445" spans="1:65" x14ac:dyDescent="0.2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</row>
    <row r="446" spans="1:65" x14ac:dyDescent="0.2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</row>
    <row r="447" spans="1:65" x14ac:dyDescent="0.2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</row>
    <row r="448" spans="1:65" x14ac:dyDescent="0.2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</row>
    <row r="449" spans="1:65" x14ac:dyDescent="0.2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</row>
    <row r="450" spans="1:65" x14ac:dyDescent="0.2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</row>
    <row r="451" spans="1:65" x14ac:dyDescent="0.2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</row>
    <row r="452" spans="1:65" x14ac:dyDescent="0.2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</row>
    <row r="453" spans="1:65" x14ac:dyDescent="0.2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</row>
    <row r="454" spans="1:65" x14ac:dyDescent="0.2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</row>
    <row r="455" spans="1:65" x14ac:dyDescent="0.2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</row>
    <row r="456" spans="1:65" x14ac:dyDescent="0.2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</row>
    <row r="457" spans="1:65" x14ac:dyDescent="0.2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</row>
    <row r="458" spans="1:65" x14ac:dyDescent="0.2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</row>
    <row r="459" spans="1:65" x14ac:dyDescent="0.2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</row>
    <row r="460" spans="1:65" x14ac:dyDescent="0.2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</row>
    <row r="461" spans="1:65" x14ac:dyDescent="0.2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</row>
    <row r="462" spans="1:65" x14ac:dyDescent="0.2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</row>
    <row r="463" spans="1:65" x14ac:dyDescent="0.2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</row>
    <row r="464" spans="1:65" x14ac:dyDescent="0.2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</row>
    <row r="465" spans="1:65" x14ac:dyDescent="0.2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</row>
    <row r="466" spans="1:65" x14ac:dyDescent="0.2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</row>
    <row r="467" spans="1:65" x14ac:dyDescent="0.2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</row>
    <row r="468" spans="1:65" x14ac:dyDescent="0.2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</row>
    <row r="469" spans="1:65" x14ac:dyDescent="0.2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</row>
    <row r="470" spans="1:65" x14ac:dyDescent="0.2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</row>
    <row r="471" spans="1:65" x14ac:dyDescent="0.2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</row>
    <row r="472" spans="1:65" x14ac:dyDescent="0.2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</row>
    <row r="473" spans="1:65" x14ac:dyDescent="0.2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</row>
    <row r="474" spans="1:65" x14ac:dyDescent="0.2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</row>
    <row r="475" spans="1:65" x14ac:dyDescent="0.2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</row>
    <row r="476" spans="1:65" x14ac:dyDescent="0.2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</row>
    <row r="477" spans="1:65" x14ac:dyDescent="0.2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</row>
    <row r="478" spans="1:65" x14ac:dyDescent="0.2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</row>
    <row r="479" spans="1:65" x14ac:dyDescent="0.2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</row>
    <row r="480" spans="1:65" x14ac:dyDescent="0.2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</row>
    <row r="481" spans="1:65" x14ac:dyDescent="0.2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</row>
    <row r="482" spans="1:65" x14ac:dyDescent="0.2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</row>
    <row r="483" spans="1:65" x14ac:dyDescent="0.2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</row>
    <row r="484" spans="1:65" x14ac:dyDescent="0.2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</row>
    <row r="485" spans="1:65" x14ac:dyDescent="0.2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</row>
    <row r="486" spans="1:65" x14ac:dyDescent="0.2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</row>
    <row r="487" spans="1:65" x14ac:dyDescent="0.2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</row>
    <row r="488" spans="1:65" x14ac:dyDescent="0.2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</row>
    <row r="489" spans="1:65" x14ac:dyDescent="0.2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</row>
    <row r="490" spans="1:65" x14ac:dyDescent="0.2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</row>
    <row r="491" spans="1:65" x14ac:dyDescent="0.2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</row>
    <row r="492" spans="1:65" x14ac:dyDescent="0.2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</row>
    <row r="493" spans="1:65" x14ac:dyDescent="0.2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</row>
    <row r="494" spans="1:65" x14ac:dyDescent="0.2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</row>
    <row r="495" spans="1:65" x14ac:dyDescent="0.2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</row>
    <row r="496" spans="1:65" x14ac:dyDescent="0.2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</row>
    <row r="497" spans="1:65" x14ac:dyDescent="0.2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</row>
    <row r="498" spans="1:65" x14ac:dyDescent="0.2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</row>
    <row r="499" spans="1:65" x14ac:dyDescent="0.2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</row>
    <row r="500" spans="1:65" x14ac:dyDescent="0.2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</row>
    <row r="501" spans="1:65" x14ac:dyDescent="0.2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</row>
    <row r="502" spans="1:65" x14ac:dyDescent="0.2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</row>
    <row r="503" spans="1:65" x14ac:dyDescent="0.2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</row>
    <row r="504" spans="1:65" x14ac:dyDescent="0.2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</row>
  </sheetData>
  <mergeCells count="15">
    <mergeCell ref="BA5:BG5"/>
    <mergeCell ref="AT4:AZ4"/>
    <mergeCell ref="BA4:BG4"/>
    <mergeCell ref="AM4:AS5"/>
    <mergeCell ref="AF4:AL5"/>
    <mergeCell ref="AT5:AZ5"/>
    <mergeCell ref="A22:AS23"/>
    <mergeCell ref="Y4:AE5"/>
    <mergeCell ref="R4:X5"/>
    <mergeCell ref="K4:Q5"/>
    <mergeCell ref="A1:I2"/>
    <mergeCell ref="A3:I3"/>
    <mergeCell ref="C5:E5"/>
    <mergeCell ref="C4:E4"/>
    <mergeCell ref="K1:AS3"/>
  </mergeCells>
  <phoneticPr fontId="15" type="noConversion"/>
  <conditionalFormatting sqref="H8 H11 G9">
    <cfRule type="dataBar" priority="307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{BCBC3163-31B5-4D32-850A-B122219B0D6C}</x14:id>
        </ext>
      </extLst>
    </cfRule>
  </conditionalFormatting>
  <conditionalFormatting sqref="K6:BG7">
    <cfRule type="expression" dxfId="165" priority="309">
      <formula>K$6=TODAY()</formula>
    </cfRule>
  </conditionalFormatting>
  <conditionalFormatting sqref="AQ9:AS9 AT6:BG9 K9:P9 R9:X9 K11:AS11 AA12:AS12 K14:U14 X14:AC14 AE14:AS14 AL15:AS15 AE16:AK16 AM16:AS16 K21:BG21 AO19:AS19 AM19 AT14:BG17 K12:O12 K15:V15 K16:Y16 K17:Z17 K6:AS8 Q12:Y12 X15:AJ15 AA16:AC16 AB17:AS17 Z9:AN9 AT11:BG12">
    <cfRule type="expression" dxfId="164" priority="308">
      <formula>K$6=TODAY()</formula>
    </cfRule>
  </conditionalFormatting>
  <conditionalFormatting sqref="K12:O12 R12:Y12 AE15:AJ15 AE16:AK16 V13 K8:BG8 K11:BG11 AA12:BG12 AL15:AS15 AF17:AS17 AM16:AS16 AE13:BG14 K13:S13 K14:U14 K16:Y16 K15:V15 X13:AC15 AA16:AC16 K17:Z17 AB17:AD17 AM18:AS18 AO19:AS19 AK19 AS20 AT15:BG20 AF18:AJ20 AN20:AQ20 AM19:AM20 K18:AD20">
    <cfRule type="expression" dxfId="163" priority="310">
      <formula>AND($E8&lt;=K$6,ROUNDDOWN(($F8-$E8+1)*$H8,0)+$E8-1&gt;=K$6)</formula>
    </cfRule>
    <cfRule type="expression" dxfId="162" priority="311">
      <formula>AND(NOT(ISBLANK($E8)),$E8&lt;=K$6,$F8&gt;=K$6)</formula>
    </cfRule>
  </conditionalFormatting>
  <conditionalFormatting sqref="AO9">
    <cfRule type="expression" dxfId="161" priority="313">
      <formula>AP$6=TODAY()</formula>
    </cfRule>
  </conditionalFormatting>
  <conditionalFormatting sqref="AM7:AO7 K9:P9 R9:X9 AQ9:BG9 Z9:AN9 AR17:AR19">
    <cfRule type="expression" dxfId="160" priority="330">
      <formula>AND($E7&lt;=K$6,ROUNDDOWN(($F7-$E7+1)*$G7,0)+$E7-1&gt;=K$6)</formula>
    </cfRule>
    <cfRule type="expression" dxfId="159" priority="331">
      <formula>AND(NOT(ISBLANK($E7)),$E7&lt;=K$6,$F7&gt;=K$6)</formula>
    </cfRule>
  </conditionalFormatting>
  <conditionalFormatting sqref="AO9">
    <cfRule type="expression" dxfId="158" priority="344">
      <formula>AND($E9&lt;=AP$6,ROUNDDOWN(($F9-$E9+1)*$G9,0)+$E9-1&gt;=AP$6)</formula>
    </cfRule>
    <cfRule type="expression" dxfId="157" priority="345">
      <formula>AND(NOT(ISBLANK($E9)),$E9&lt;=AP$6,$F9&gt;=AP$6)</formula>
    </cfRule>
  </conditionalFormatting>
  <conditionalFormatting sqref="G12 G14">
    <cfRule type="dataBar" priority="304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{0ADE128C-D510-45BA-A15C-23E905039C3D}</x14:id>
        </ext>
      </extLst>
    </cfRule>
  </conditionalFormatting>
  <conditionalFormatting sqref="G15:G16">
    <cfRule type="dataBar" priority="303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{63C889CC-6B43-40FE-99E3-F3FBEEDDAC4C}</x14:id>
        </ext>
      </extLst>
    </cfRule>
  </conditionalFormatting>
  <conditionalFormatting sqref="G17">
    <cfRule type="dataBar" priority="30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{67628C50-517E-4FF9-BE1F-1E493C705778}</x14:id>
        </ext>
      </extLst>
    </cfRule>
  </conditionalFormatting>
  <conditionalFormatting sqref="K21:BG21">
    <cfRule type="expression" dxfId="156" priority="348">
      <formula>AND($E21&lt;=K$6,ROUNDDOWN(($F21-$E21+1)*#REF!,0)+$E21-1&gt;=K$6)</formula>
    </cfRule>
    <cfRule type="expression" dxfId="155" priority="349">
      <formula>AND(NOT(ISBLANK($E21)),$E21&lt;=K$6,$F21&gt;=K$6)</formula>
    </cfRule>
  </conditionalFormatting>
  <conditionalFormatting sqref="Q12">
    <cfRule type="expression" dxfId="154" priority="356">
      <formula>AND($E9&lt;=Q$6,ROUNDDOWN(($F9-$E9+1)*$G9,0)+$E9-1&gt;=Q$6)</formula>
    </cfRule>
    <cfRule type="expression" dxfId="153" priority="357">
      <formula>AND(NOT(ISBLANK($E9)),$E9&lt;=Q$6,$F9&gt;=Q$6)</formula>
    </cfRule>
  </conditionalFormatting>
  <conditionalFormatting sqref="W14">
    <cfRule type="expression" dxfId="152" priority="359">
      <formula>Z$6=TODAY()</formula>
    </cfRule>
  </conditionalFormatting>
  <conditionalFormatting sqref="W14">
    <cfRule type="expression" dxfId="151" priority="364">
      <formula>AND($E12&lt;=Z$6,ROUNDDOWN(($F12-$E12+1)*$H12,0)+$E12-1&gt;=Z$6)</formula>
    </cfRule>
    <cfRule type="expression" dxfId="150" priority="365">
      <formula>AND(NOT(ISBLANK($E12)),$E12&lt;=Z$6,$F12&gt;=Z$6)</formula>
    </cfRule>
  </conditionalFormatting>
  <conditionalFormatting sqref="W14">
    <cfRule type="expression" dxfId="149" priority="366">
      <formula>AND($E12&lt;=Z$6,ROUNDDOWN(($F12-$E12+1)*$G12,0)+$E12-1&gt;=Z$6)</formula>
    </cfRule>
    <cfRule type="expression" dxfId="148" priority="367">
      <formula>AND(NOT(ISBLANK($E12)),$E12&lt;=Z$6,$F12&gt;=Z$6)</formula>
    </cfRule>
  </conditionalFormatting>
  <conditionalFormatting sqref="AD15">
    <cfRule type="expression" dxfId="147" priority="374">
      <formula>AND($E14&lt;=AD$6,ROUNDDOWN(($F14-$E14+1)*$H14,0)+$E14-1&gt;=AD$6)</formula>
    </cfRule>
    <cfRule type="expression" dxfId="146" priority="375">
      <formula>AND(NOT(ISBLANK($E14)),$E14&lt;=AD$6,$F14&gt;=AD$6)</formula>
    </cfRule>
  </conditionalFormatting>
  <conditionalFormatting sqref="AD15">
    <cfRule type="expression" dxfId="145" priority="376">
      <formula>AND($E14&lt;=AD$6,ROUNDDOWN(($F14-$E14+1)*$G14,0)+$E14-1&gt;=AD$6)</formula>
    </cfRule>
    <cfRule type="expression" dxfId="144" priority="377">
      <formula>AND(NOT(ISBLANK($E14)),$E14&lt;=AD$6,$F14&gt;=AD$6)</formula>
    </cfRule>
  </conditionalFormatting>
  <conditionalFormatting sqref="AD16 AE17">
    <cfRule type="expression" dxfId="143" priority="379">
      <formula>AK$6=TODAY()</formula>
    </cfRule>
  </conditionalFormatting>
  <conditionalFormatting sqref="AD16 AE17">
    <cfRule type="expression" dxfId="142" priority="384">
      <formula>AND($E15&lt;=AK$6,ROUNDDOWN(($F15-$E15+1)*$H15,0)+$E15-1&gt;=AK$6)</formula>
    </cfRule>
    <cfRule type="expression" dxfId="141" priority="385">
      <formula>AND(NOT(ISBLANK($E15)),$E15&lt;=AK$6,$F15&gt;=AK$6)</formula>
    </cfRule>
  </conditionalFormatting>
  <conditionalFormatting sqref="AD16 AE17">
    <cfRule type="expression" dxfId="140" priority="386">
      <formula>AND($E15&lt;=AK$6,ROUNDDOWN(($F15-$E15+1)*$G15,0)+$E15-1&gt;=AK$6)</formula>
    </cfRule>
    <cfRule type="expression" dxfId="139" priority="387">
      <formula>AND(NOT(ISBLANK($E15)),$E15&lt;=AK$6,$F15&gt;=AK$6)</formula>
    </cfRule>
  </conditionalFormatting>
  <conditionalFormatting sqref="K18:AC18 AF18:AG18 AL18:AS18 AI18:AJ18">
    <cfRule type="expression" dxfId="138" priority="261">
      <formula>K$6=TODAY()</formula>
    </cfRule>
  </conditionalFormatting>
  <conditionalFormatting sqref="AT18:BG18">
    <cfRule type="expression" dxfId="137" priority="253">
      <formula>AT$6=TODAY()</formula>
    </cfRule>
  </conditionalFormatting>
  <conditionalFormatting sqref="G18">
    <cfRule type="dataBar" priority="25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{EF5CA769-97C1-4F0C-AEE8-939C789B9F94}</x14:id>
        </ext>
      </extLst>
    </cfRule>
  </conditionalFormatting>
  <conditionalFormatting sqref="AL18">
    <cfRule type="expression" dxfId="136" priority="256">
      <formula>AL$6=TODAY()</formula>
    </cfRule>
  </conditionalFormatting>
  <conditionalFormatting sqref="AL18">
    <cfRule type="expression" dxfId="135" priority="266">
      <formula>AE$6=TODAY()</formula>
    </cfRule>
  </conditionalFormatting>
  <conditionalFormatting sqref="K19:AD19 AG19:AJ19">
    <cfRule type="expression" dxfId="134" priority="243">
      <formula>K$6=TODAY()</formula>
    </cfRule>
  </conditionalFormatting>
  <conditionalFormatting sqref="AT19:BG19">
    <cfRule type="expression" dxfId="133" priority="235">
      <formula>AT$6=TODAY()</formula>
    </cfRule>
  </conditionalFormatting>
  <conditionalFormatting sqref="G19">
    <cfRule type="dataBar" priority="234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{4F60523D-A698-4D76-880F-9E605B9BB6D1}</x14:id>
        </ext>
      </extLst>
    </cfRule>
  </conditionalFormatting>
  <conditionalFormatting sqref="AN19">
    <cfRule type="expression" dxfId="132" priority="238">
      <formula>AL$6=TODAY()</formula>
    </cfRule>
  </conditionalFormatting>
  <conditionalFormatting sqref="AN19">
    <cfRule type="expression" dxfId="131" priority="239">
      <formula>AND($E18&lt;=AL$6,ROUNDDOWN(($F18-$E18+1)*$H18,0)+$E18-1&gt;=AL$6)</formula>
    </cfRule>
    <cfRule type="expression" dxfId="130" priority="240">
      <formula>AND(NOT(ISBLANK($E18)),$E18&lt;=AL$6,$F18&gt;=AL$6)</formula>
    </cfRule>
  </conditionalFormatting>
  <conditionalFormatting sqref="AN19">
    <cfRule type="expression" dxfId="129" priority="241">
      <formula>AND($E18&lt;=AL$6,ROUNDDOWN(($F18-$E18+1)*$G18,0)+$E18-1&gt;=AL$6)</formula>
    </cfRule>
    <cfRule type="expression" dxfId="128" priority="242">
      <formula>AND(NOT(ISBLANK($E18)),$E18&lt;=AL$6,$F18&gt;=AL$6)</formula>
    </cfRule>
  </conditionalFormatting>
  <conditionalFormatting sqref="AN19">
    <cfRule type="expression" dxfId="127" priority="246">
      <formula>AE$6=TODAY()</formula>
    </cfRule>
  </conditionalFormatting>
  <conditionalFormatting sqref="AO20:AS20 AM20">
    <cfRule type="expression" dxfId="126" priority="228">
      <formula>AM$6=TODAY()</formula>
    </cfRule>
  </conditionalFormatting>
  <conditionalFormatting sqref="K20:AD20 AF20:AG20 AI20:AJ20">
    <cfRule type="expression" dxfId="125" priority="224">
      <formula>K$6=TODAY()</formula>
    </cfRule>
  </conditionalFormatting>
  <conditionalFormatting sqref="AT20:BG20">
    <cfRule type="expression" dxfId="124" priority="216">
      <formula>AT$6=TODAY()</formula>
    </cfRule>
  </conditionalFormatting>
  <conditionalFormatting sqref="G20">
    <cfRule type="dataBar" priority="215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{C7AAFDCF-DAF2-442A-A564-9AE81BD74B8C}</x14:id>
        </ext>
      </extLst>
    </cfRule>
  </conditionalFormatting>
  <conditionalFormatting sqref="AR20">
    <cfRule type="expression" dxfId="123" priority="219">
      <formula>AL$6=TODAY()</formula>
    </cfRule>
  </conditionalFormatting>
  <conditionalFormatting sqref="AR20">
    <cfRule type="expression" dxfId="122" priority="220">
      <formula>AND($E19&lt;=AL$6,ROUNDDOWN(($F19-$E19+1)*$H19,0)+$E19-1&gt;=AL$6)</formula>
    </cfRule>
    <cfRule type="expression" dxfId="121" priority="221">
      <formula>AND(NOT(ISBLANK($E19)),$E19&lt;=AL$6,$F19&gt;=AL$6)</formula>
    </cfRule>
  </conditionalFormatting>
  <conditionalFormatting sqref="AR20">
    <cfRule type="expression" dxfId="120" priority="222">
      <formula>AND($E19&lt;=AL$6,ROUNDDOWN(($F19-$E19+1)*$G19,0)+$E19-1&gt;=AL$6)</formula>
    </cfRule>
    <cfRule type="expression" dxfId="119" priority="223">
      <formula>AND(NOT(ISBLANK($E19)),$E19&lt;=AL$6,$F19&gt;=AL$6)</formula>
    </cfRule>
  </conditionalFormatting>
  <conditionalFormatting sqref="AR20">
    <cfRule type="expression" dxfId="118" priority="227">
      <formula>AE$6=TODAY()</formula>
    </cfRule>
  </conditionalFormatting>
  <conditionalFormatting sqref="K13:T13 X13:AC13 AE13:BG13 V13">
    <cfRule type="expression" dxfId="117" priority="185">
      <formula>K$6=TODAY()</formula>
    </cfRule>
  </conditionalFormatting>
  <conditionalFormatting sqref="G13">
    <cfRule type="dataBar" priority="184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{06846E42-72C5-42EF-90CF-4B934C2EBA7C}</x14:id>
        </ext>
      </extLst>
    </cfRule>
  </conditionalFormatting>
  <conditionalFormatting sqref="T13">
    <cfRule type="expression" dxfId="116" priority="188">
      <formula>Z$6=TODAY()</formula>
    </cfRule>
  </conditionalFormatting>
  <conditionalFormatting sqref="T13">
    <cfRule type="expression" dxfId="115" priority="189">
      <formula>AND($E11&lt;=Z$6,ROUNDDOWN(($F11-$E11+1)*$H11,0)+$E11-1&gt;=Z$6)</formula>
    </cfRule>
    <cfRule type="expression" dxfId="114" priority="190">
      <formula>AND(NOT(ISBLANK($E11)),$E11&lt;=Z$6,$F11&gt;=Z$6)</formula>
    </cfRule>
  </conditionalFormatting>
  <conditionalFormatting sqref="T13">
    <cfRule type="expression" dxfId="113" priority="191">
      <formula>AND($E11&lt;=Z$6,ROUNDDOWN(($F11-$E11+1)*$G11,0)+$E11-1&gt;=Z$6)</formula>
    </cfRule>
    <cfRule type="expression" dxfId="112" priority="192">
      <formula>AND(NOT(ISBLANK($E11)),$E11&lt;=Z$6,$F11&gt;=Z$6)</formula>
    </cfRule>
  </conditionalFormatting>
  <conditionalFormatting sqref="M12">
    <cfRule type="expression" dxfId="111" priority="181">
      <formula>AND($E9&lt;=M$6,ROUNDDOWN(($F9-$E9+1)*$G9,0)+$E9-1&gt;=M$6)</formula>
    </cfRule>
    <cfRule type="expression" dxfId="110" priority="182">
      <formula>AND(NOT(ISBLANK($E9)),$E9&lt;=M$6,$F9&gt;=M$6)</formula>
    </cfRule>
  </conditionalFormatting>
  <conditionalFormatting sqref="P13">
    <cfRule type="expression" dxfId="109" priority="180">
      <formula>P$6=TODAY()</formula>
    </cfRule>
  </conditionalFormatting>
  <conditionalFormatting sqref="P13 AN20 AH20">
    <cfRule type="expression" dxfId="108" priority="178">
      <formula>AND($E11&lt;=P$6,ROUNDDOWN(($F11-$E11+1)*$G11,0)+$E11-1&gt;=P$6)</formula>
    </cfRule>
    <cfRule type="expression" dxfId="107" priority="179">
      <formula>AND(NOT(ISBLANK($E11)),$E11&lt;=P$6,$F11&gt;=P$6)</formula>
    </cfRule>
  </conditionalFormatting>
  <conditionalFormatting sqref="R14">
    <cfRule type="expression" dxfId="106" priority="177">
      <formula>R$6=TODAY()</formula>
    </cfRule>
  </conditionalFormatting>
  <conditionalFormatting sqref="R14">
    <cfRule type="expression" dxfId="105" priority="176">
      <formula>R$6=TODAY()</formula>
    </cfRule>
  </conditionalFormatting>
  <conditionalFormatting sqref="R14">
    <cfRule type="expression" dxfId="104" priority="174">
      <formula>AND($E12&lt;=R$6,ROUNDDOWN(($F12-$E12+1)*$G12,0)+$E12-1&gt;=R$6)</formula>
    </cfRule>
    <cfRule type="expression" dxfId="103" priority="175">
      <formula>AND(NOT(ISBLANK($E12)),$E12&lt;=R$6,$F12&gt;=R$6)</formula>
    </cfRule>
  </conditionalFormatting>
  <conditionalFormatting sqref="AB17">
    <cfRule type="expression" dxfId="102" priority="165">
      <formula>AB$6=TODAY()</formula>
    </cfRule>
  </conditionalFormatting>
  <conditionalFormatting sqref="AB17">
    <cfRule type="expression" dxfId="101" priority="164">
      <formula>AB$6=TODAY()</formula>
    </cfRule>
  </conditionalFormatting>
  <conditionalFormatting sqref="AB17">
    <cfRule type="expression" dxfId="100" priority="162">
      <formula>AND($E15&lt;=AB$6,ROUNDDOWN(($F15-$E15+1)*$G15,0)+$E15-1&gt;=AB$6)</formula>
    </cfRule>
    <cfRule type="expression" dxfId="99" priority="163">
      <formula>AND(NOT(ISBLANK($E15)),$E15&lt;=AB$6,$F15&gt;=AB$6)</formula>
    </cfRule>
  </conditionalFormatting>
  <conditionalFormatting sqref="AH18">
    <cfRule type="expression" dxfId="98" priority="152">
      <formula>AH$6=TODAY()</formula>
    </cfRule>
  </conditionalFormatting>
  <conditionalFormatting sqref="AH18">
    <cfRule type="expression" dxfId="97" priority="151">
      <formula>AH$6=TODAY()</formula>
    </cfRule>
  </conditionalFormatting>
  <conditionalFormatting sqref="AH18">
    <cfRule type="expression" dxfId="96" priority="150">
      <formula>AH$6=TODAY()</formula>
    </cfRule>
  </conditionalFormatting>
  <conditionalFormatting sqref="AH18">
    <cfRule type="expression" dxfId="95" priority="148">
      <formula>AND($E17&lt;=AH$6,ROUNDDOWN(($F17-$E17+1)*$G17,0)+$E17-1&gt;=AH$6)</formula>
    </cfRule>
    <cfRule type="expression" dxfId="94" priority="149">
      <formula>AND(NOT(ISBLANK($E17)),$E17&lt;=AH$6,$F17&gt;=AH$6)</formula>
    </cfRule>
  </conditionalFormatting>
  <conditionalFormatting sqref="AK19">
    <cfRule type="expression" dxfId="93" priority="145">
      <formula>AK$6=TODAY()</formula>
    </cfRule>
  </conditionalFormatting>
  <conditionalFormatting sqref="AK19">
    <cfRule type="expression" dxfId="92" priority="144">
      <formula>AK$6=TODAY()</formula>
    </cfRule>
  </conditionalFormatting>
  <conditionalFormatting sqref="AK19">
    <cfRule type="expression" dxfId="91" priority="143">
      <formula>AK$6=TODAY()</formula>
    </cfRule>
  </conditionalFormatting>
  <conditionalFormatting sqref="AK19">
    <cfRule type="expression" dxfId="90" priority="141">
      <formula>AND(#REF!&lt;=AK$6,ROUNDDOWN((#REF!-#REF!+1)*#REF!,0)+#REF!-1&gt;=AK$6)</formula>
    </cfRule>
    <cfRule type="expression" dxfId="89" priority="142">
      <formula>AND(NOT(ISBLANK(#REF!)),#REF!&lt;=AK$6,#REF!&gt;=AK$6)</formula>
    </cfRule>
  </conditionalFormatting>
  <conditionalFormatting sqref="AN20">
    <cfRule type="expression" dxfId="88" priority="138">
      <formula>AN$6=TODAY()</formula>
    </cfRule>
  </conditionalFormatting>
  <conditionalFormatting sqref="AN20">
    <cfRule type="expression" dxfId="87" priority="137">
      <formula>AN$6=TODAY()</formula>
    </cfRule>
  </conditionalFormatting>
  <conditionalFormatting sqref="AN20">
    <cfRule type="expression" dxfId="86" priority="136">
      <formula>AN$6=TODAY()</formula>
    </cfRule>
  </conditionalFormatting>
  <conditionalFormatting sqref="P12">
    <cfRule type="expression" dxfId="85" priority="96">
      <formula>P$6=TODAY()</formula>
    </cfRule>
  </conditionalFormatting>
  <conditionalFormatting sqref="P12">
    <cfRule type="expression" dxfId="84" priority="95">
      <formula>P$6=TODAY()</formula>
    </cfRule>
  </conditionalFormatting>
  <conditionalFormatting sqref="P12">
    <cfRule type="expression" dxfId="83" priority="92">
      <formula>AND($E9&lt;=P$6,ROUNDDOWN(($F9-$E9+1)*$G9,0)+$E9-1&gt;=P$6)</formula>
    </cfRule>
    <cfRule type="expression" dxfId="82" priority="93">
      <formula>AND(NOT(ISBLANK($E9)),$E9&lt;=P$6,$F9&gt;=P$6)</formula>
    </cfRule>
  </conditionalFormatting>
  <conditionalFormatting sqref="P12">
    <cfRule type="expression" dxfId="81" priority="97">
      <formula>AND($E12&lt;=P$6,ROUNDDOWN(($F12-$E12+1)*$H12,0)+$E12-1&gt;=P$6)</formula>
    </cfRule>
    <cfRule type="expression" dxfId="80" priority="98">
      <formula>AND(NOT(ISBLANK($E12)),$E12&lt;=P$6,$F12&gt;=P$6)</formula>
    </cfRule>
  </conditionalFormatting>
  <conditionalFormatting sqref="P12">
    <cfRule type="expression" dxfId="79" priority="94">
      <formula>P$6=TODAY()</formula>
    </cfRule>
  </conditionalFormatting>
  <conditionalFormatting sqref="U13">
    <cfRule type="expression" dxfId="78" priority="85">
      <formula>AND($E11&lt;=U$6,ROUNDDOWN(($F11-$E11+1)*$G11,0)+$E11-1&gt;=U$6)</formula>
    </cfRule>
    <cfRule type="expression" dxfId="77" priority="86">
      <formula>AND(NOT(ISBLANK($E11)),$E11&lt;=U$6,$F11&gt;=U$6)</formula>
    </cfRule>
  </conditionalFormatting>
  <conditionalFormatting sqref="U13">
    <cfRule type="expression" dxfId="76" priority="89">
      <formula>U$6=TODAY()</formula>
    </cfRule>
  </conditionalFormatting>
  <conditionalFormatting sqref="U13">
    <cfRule type="expression" dxfId="75" priority="90">
      <formula>AND($E13&lt;=U$6,ROUNDDOWN(($F13-$E13+1)*$H13,0)+$E13-1&gt;=U$6)</formula>
    </cfRule>
    <cfRule type="expression" dxfId="74" priority="91">
      <formula>AND(NOT(ISBLANK($E13)),$E13&lt;=U$6,$F13&gt;=U$6)</formula>
    </cfRule>
  </conditionalFormatting>
  <conditionalFormatting sqref="U13">
    <cfRule type="expression" dxfId="73" priority="88">
      <formula>U$6=TODAY()</formula>
    </cfRule>
  </conditionalFormatting>
  <conditionalFormatting sqref="U13">
    <cfRule type="expression" dxfId="72" priority="87">
      <formula>U$6=TODAY()</formula>
    </cfRule>
  </conditionalFormatting>
  <conditionalFormatting sqref="V14">
    <cfRule type="expression" dxfId="71" priority="78">
      <formula>AND($E12&lt;=V$6,ROUNDDOWN(($F12-$E12+1)*$G12,0)+$E12-1&gt;=V$6)</formula>
    </cfRule>
    <cfRule type="expression" dxfId="70" priority="79">
      <formula>AND(NOT(ISBLANK($E12)),$E12&lt;=V$6,$F12&gt;=V$6)</formula>
    </cfRule>
  </conditionalFormatting>
  <conditionalFormatting sqref="V14">
    <cfRule type="expression" dxfId="69" priority="82">
      <formula>V$6=TODAY()</formula>
    </cfRule>
  </conditionalFormatting>
  <conditionalFormatting sqref="V14">
    <cfRule type="expression" dxfId="68" priority="83">
      <formula>AND($E14&lt;=V$6,ROUNDDOWN(($F14-$E14+1)*$H14,0)+$E14-1&gt;=V$6)</formula>
    </cfRule>
    <cfRule type="expression" dxfId="67" priority="84">
      <formula>AND(NOT(ISBLANK($E14)),$E14&lt;=V$6,$F14&gt;=V$6)</formula>
    </cfRule>
  </conditionalFormatting>
  <conditionalFormatting sqref="V14">
    <cfRule type="expression" dxfId="66" priority="81">
      <formula>V$6=TODAY()</formula>
    </cfRule>
  </conditionalFormatting>
  <conditionalFormatting sqref="V14">
    <cfRule type="expression" dxfId="65" priority="80">
      <formula>V$6=TODAY()</formula>
    </cfRule>
  </conditionalFormatting>
  <conditionalFormatting sqref="W15">
    <cfRule type="expression" dxfId="64" priority="71">
      <formula>AND($E13&lt;=W$6,ROUNDDOWN(($F13-$E13+1)*$G13,0)+$E13-1&gt;=W$6)</formula>
    </cfRule>
    <cfRule type="expression" dxfId="63" priority="72">
      <formula>AND(NOT(ISBLANK($E13)),$E13&lt;=W$6,$F13&gt;=W$6)</formula>
    </cfRule>
  </conditionalFormatting>
  <conditionalFormatting sqref="W15">
    <cfRule type="expression" dxfId="62" priority="75">
      <formula>W$6=TODAY()</formula>
    </cfRule>
  </conditionalFormatting>
  <conditionalFormatting sqref="W15">
    <cfRule type="expression" dxfId="61" priority="76">
      <formula>AND($E15&lt;=W$6,ROUNDDOWN(($F15-$E15+1)*$H15,0)+$E15-1&gt;=W$6)</formula>
    </cfRule>
    <cfRule type="expression" dxfId="60" priority="77">
      <formula>AND(NOT(ISBLANK($E15)),$E15&lt;=W$6,$F15&gt;=W$6)</formula>
    </cfRule>
  </conditionalFormatting>
  <conditionalFormatting sqref="W15">
    <cfRule type="expression" dxfId="59" priority="74">
      <formula>W$6=TODAY()</formula>
    </cfRule>
  </conditionalFormatting>
  <conditionalFormatting sqref="W15">
    <cfRule type="expression" dxfId="58" priority="73">
      <formula>W$6=TODAY()</formula>
    </cfRule>
  </conditionalFormatting>
  <conditionalFormatting sqref="Z16">
    <cfRule type="expression" dxfId="57" priority="64">
      <formula>AND($E14&lt;=Z$6,ROUNDDOWN(($F14-$E14+1)*$G14,0)+$E14-1&gt;=Z$6)</formula>
    </cfRule>
    <cfRule type="expression" dxfId="56" priority="65">
      <formula>AND(NOT(ISBLANK($E14)),$E14&lt;=Z$6,$F14&gt;=Z$6)</formula>
    </cfRule>
  </conditionalFormatting>
  <conditionalFormatting sqref="Z16">
    <cfRule type="expression" dxfId="55" priority="68">
      <formula>Z$6=TODAY()</formula>
    </cfRule>
  </conditionalFormatting>
  <conditionalFormatting sqref="Z16">
    <cfRule type="expression" dxfId="54" priority="69">
      <formula>AND($E16&lt;=Z$6,ROUNDDOWN(($F16-$E16+1)*$H16,0)+$E16-1&gt;=Z$6)</formula>
    </cfRule>
    <cfRule type="expression" dxfId="53" priority="70">
      <formula>AND(NOT(ISBLANK($E16)),$E16&lt;=Z$6,$F16&gt;=Z$6)</formula>
    </cfRule>
  </conditionalFormatting>
  <conditionalFormatting sqref="Z16">
    <cfRule type="expression" dxfId="52" priority="67">
      <formula>Z$6=TODAY()</formula>
    </cfRule>
  </conditionalFormatting>
  <conditionalFormatting sqref="Z16">
    <cfRule type="expression" dxfId="51" priority="66">
      <formula>Z$6=TODAY()</formula>
    </cfRule>
  </conditionalFormatting>
  <conditionalFormatting sqref="AA17">
    <cfRule type="expression" dxfId="50" priority="57">
      <formula>AND($E15&lt;=AA$6,ROUNDDOWN(($F15-$E15+1)*$G15,0)+$E15-1&gt;=AA$6)</formula>
    </cfRule>
    <cfRule type="expression" dxfId="49" priority="58">
      <formula>AND(NOT(ISBLANK($E15)),$E15&lt;=AA$6,$F15&gt;=AA$6)</formula>
    </cfRule>
  </conditionalFormatting>
  <conditionalFormatting sqref="AA17">
    <cfRule type="expression" dxfId="48" priority="61">
      <formula>AA$6=TODAY()</formula>
    </cfRule>
  </conditionalFormatting>
  <conditionalFormatting sqref="AA17">
    <cfRule type="expression" dxfId="47" priority="62">
      <formula>AND($E17&lt;=AA$6,ROUNDDOWN(($F17-$E17+1)*$H17,0)+$E17-1&gt;=AA$6)</formula>
    </cfRule>
    <cfRule type="expression" dxfId="46" priority="63">
      <formula>AND(NOT(ISBLANK($E17)),$E17&lt;=AA$6,$F17&gt;=AA$6)</formula>
    </cfRule>
  </conditionalFormatting>
  <conditionalFormatting sqref="AA17">
    <cfRule type="expression" dxfId="45" priority="60">
      <formula>AA$6=TODAY()</formula>
    </cfRule>
  </conditionalFormatting>
  <conditionalFormatting sqref="AA17">
    <cfRule type="expression" dxfId="44" priority="59">
      <formula>AA$6=TODAY()</formula>
    </cfRule>
  </conditionalFormatting>
  <conditionalFormatting sqref="Y9">
    <cfRule type="expression" dxfId="43" priority="50">
      <formula>AND($E7&lt;=Y$6,ROUNDDOWN(($F7-$E7+1)*$G7,0)+$E7-1&gt;=Y$6)</formula>
    </cfRule>
    <cfRule type="expression" dxfId="42" priority="51">
      <formula>AND(NOT(ISBLANK($E7)),$E7&lt;=Y$6,$F7&gt;=Y$6)</formula>
    </cfRule>
  </conditionalFormatting>
  <conditionalFormatting sqref="Y9">
    <cfRule type="expression" dxfId="41" priority="54">
      <formula>Y$6=TODAY()</formula>
    </cfRule>
  </conditionalFormatting>
  <conditionalFormatting sqref="Y9">
    <cfRule type="expression" dxfId="40" priority="55">
      <formula>AND($E9&lt;=Y$6,ROUNDDOWN(($F9-$E9+1)*$H9,0)+$E9-1&gt;=Y$6)</formula>
    </cfRule>
    <cfRule type="expression" dxfId="39" priority="56">
      <formula>AND(NOT(ISBLANK($E9)),$E9&lt;=Y$6,$F9&gt;=Y$6)</formula>
    </cfRule>
  </conditionalFormatting>
  <conditionalFormatting sqref="Y9">
    <cfRule type="expression" dxfId="38" priority="53">
      <formula>Y$6=TODAY()</formula>
    </cfRule>
  </conditionalFormatting>
  <conditionalFormatting sqref="Y9">
    <cfRule type="expression" dxfId="37" priority="52">
      <formula>Y$6=TODAY()</formula>
    </cfRule>
  </conditionalFormatting>
  <conditionalFormatting sqref="AB10">
    <cfRule type="expression" dxfId="36" priority="1">
      <formula>AND($E8&lt;=AB$6,ROUNDDOWN(($F8-$E8+1)*$G8,0)+$E8-1&gt;=AB$6)</formula>
    </cfRule>
    <cfRule type="expression" dxfId="35" priority="2">
      <formula>AND(NOT(ISBLANK($E8)),$E8&lt;=AB$6,$F8&gt;=AB$6)</formula>
    </cfRule>
  </conditionalFormatting>
  <conditionalFormatting sqref="AD18">
    <cfRule type="expression" dxfId="34" priority="36">
      <formula>AND($E17&lt;=AD$6,ROUNDDOWN(($F17-$E17+1)*$G17,0)+$E17-1&gt;=AD$6)</formula>
    </cfRule>
    <cfRule type="expression" dxfId="33" priority="37">
      <formula>AND(NOT(ISBLANK($E17)),$E17&lt;=AD$6,$F17&gt;=AD$6)</formula>
    </cfRule>
  </conditionalFormatting>
  <conditionalFormatting sqref="AD18">
    <cfRule type="expression" dxfId="32" priority="40">
      <formula>AD$6=TODAY()</formula>
    </cfRule>
  </conditionalFormatting>
  <conditionalFormatting sqref="AD18">
    <cfRule type="expression" dxfId="31" priority="39">
      <formula>AD$6=TODAY()</formula>
    </cfRule>
  </conditionalFormatting>
  <conditionalFormatting sqref="AD18">
    <cfRule type="expression" dxfId="30" priority="38">
      <formula>AD$6=TODAY()</formula>
    </cfRule>
  </conditionalFormatting>
  <conditionalFormatting sqref="AF19">
    <cfRule type="expression" dxfId="29" priority="29">
      <formula>AND(#REF!&lt;=AF$6,ROUNDDOWN((#REF!-#REF!+1)*#REF!,0)+#REF!-1&gt;=AF$6)</formula>
    </cfRule>
    <cfRule type="expression" dxfId="28" priority="30">
      <formula>AND(NOT(ISBLANK(#REF!)),#REF!&lt;=AF$6,#REF!&gt;=AF$6)</formula>
    </cfRule>
  </conditionalFormatting>
  <conditionalFormatting sqref="AF19">
    <cfRule type="expression" dxfId="27" priority="33">
      <formula>AF$6=TODAY()</formula>
    </cfRule>
  </conditionalFormatting>
  <conditionalFormatting sqref="AF19">
    <cfRule type="expression" dxfId="26" priority="32">
      <formula>AF$6=TODAY()</formula>
    </cfRule>
  </conditionalFormatting>
  <conditionalFormatting sqref="AF19">
    <cfRule type="expression" dxfId="25" priority="31">
      <formula>AF$6=TODAY()</formula>
    </cfRule>
  </conditionalFormatting>
  <conditionalFormatting sqref="AH20">
    <cfRule type="expression" dxfId="24" priority="26">
      <formula>AH$6=TODAY()</formula>
    </cfRule>
  </conditionalFormatting>
  <conditionalFormatting sqref="AH20">
    <cfRule type="expression" dxfId="23" priority="25">
      <formula>AH$6=TODAY()</formula>
    </cfRule>
  </conditionalFormatting>
  <conditionalFormatting sqref="AH20">
    <cfRule type="expression" dxfId="22" priority="24">
      <formula>AH$6=TODAY()</formula>
    </cfRule>
  </conditionalFormatting>
  <conditionalFormatting sqref="G10">
    <cfRule type="dataBar" priority="15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{5D1F8FA2-4436-40DF-A0BB-558EB12BC4BA}</x14:id>
        </ext>
      </extLst>
    </cfRule>
  </conditionalFormatting>
  <conditionalFormatting sqref="AQ10:BG10 K10:P10 R10:X10 Z10:AA10 AC10:AN10">
    <cfRule type="expression" dxfId="21" priority="16">
      <formula>K$6=TODAY()</formula>
    </cfRule>
  </conditionalFormatting>
  <conditionalFormatting sqref="AO10">
    <cfRule type="expression" dxfId="20" priority="17">
      <formula>AP$6=TODAY()</formula>
    </cfRule>
  </conditionalFormatting>
  <conditionalFormatting sqref="K10:P10 R10:X10 AQ10:BG10 Z10:AA10 AC10:AN10">
    <cfRule type="expression" dxfId="19" priority="18">
      <formula>AND($E10&lt;=K$6,ROUNDDOWN(($F10-$E10+1)*$G10,0)+$E10-1&gt;=K$6)</formula>
    </cfRule>
    <cfRule type="expression" dxfId="18" priority="19">
      <formula>AND(NOT(ISBLANK($E10)),$E10&lt;=K$6,$F10&gt;=K$6)</formula>
    </cfRule>
  </conditionalFormatting>
  <conditionalFormatting sqref="AO10">
    <cfRule type="expression" dxfId="17" priority="20">
      <formula>AND($E10&lt;=AP$6,ROUNDDOWN(($F10-$E10+1)*$G10,0)+$E10-1&gt;=AP$6)</formula>
    </cfRule>
    <cfRule type="expression" dxfId="16" priority="21">
      <formula>AND(NOT(ISBLANK($E10)),$E10&lt;=AP$6,$F10&gt;=AP$6)</formula>
    </cfRule>
  </conditionalFormatting>
  <conditionalFormatting sqref="Y10">
    <cfRule type="expression" dxfId="15" priority="8">
      <formula>AND($E8&lt;=Y$6,ROUNDDOWN(($F8-$E8+1)*$G8,0)+$E8-1&gt;=Y$6)</formula>
    </cfRule>
    <cfRule type="expression" dxfId="14" priority="9">
      <formula>AND(NOT(ISBLANK($E8)),$E8&lt;=Y$6,$F8&gt;=Y$6)</formula>
    </cfRule>
  </conditionalFormatting>
  <conditionalFormatting sqref="Y10">
    <cfRule type="expression" dxfId="13" priority="12">
      <formula>Y$6=TODAY()</formula>
    </cfRule>
  </conditionalFormatting>
  <conditionalFormatting sqref="Y10">
    <cfRule type="expression" dxfId="12" priority="13">
      <formula>AND($E10&lt;=Y$6,ROUNDDOWN(($F10-$E10+1)*$H10,0)+$E10-1&gt;=Y$6)</formula>
    </cfRule>
    <cfRule type="expression" dxfId="11" priority="14">
      <formula>AND(NOT(ISBLANK($E10)),$E10&lt;=Y$6,$F10&gt;=Y$6)</formula>
    </cfRule>
  </conditionalFormatting>
  <conditionalFormatting sqref="Y10">
    <cfRule type="expression" dxfId="10" priority="11">
      <formula>Y$6=TODAY()</formula>
    </cfRule>
  </conditionalFormatting>
  <conditionalFormatting sqref="Y10">
    <cfRule type="expression" dxfId="9" priority="10">
      <formula>Y$6=TODAY()</formula>
    </cfRule>
  </conditionalFormatting>
  <conditionalFormatting sqref="AB10">
    <cfRule type="expression" dxfId="8" priority="5">
      <formula>AB$6=TODAY()</formula>
    </cfRule>
  </conditionalFormatting>
  <conditionalFormatting sqref="AB10">
    <cfRule type="expression" dxfId="7" priority="6">
      <formula>AND($E10&lt;=AB$6,ROUNDDOWN(($F10-$E10+1)*$H10,0)+$E10-1&gt;=AB$6)</formula>
    </cfRule>
    <cfRule type="expression" dxfId="6" priority="7">
      <formula>AND(NOT(ISBLANK($E10)),$E10&lt;=AB$6,$F10&gt;=AB$6)</formula>
    </cfRule>
  </conditionalFormatting>
  <conditionalFormatting sqref="AB10">
    <cfRule type="expression" dxfId="5" priority="4">
      <formula>AB$6=TODAY()</formula>
    </cfRule>
  </conditionalFormatting>
  <conditionalFormatting sqref="AB10">
    <cfRule type="expression" dxfId="4" priority="3">
      <formula>AB$6=TODAY()</formula>
    </cfRule>
  </conditionalFormatting>
  <conditionalFormatting sqref="AL18">
    <cfRule type="expression" dxfId="3" priority="430">
      <formula>AND(#REF!&lt;=AL$6,ROUNDDOWN((#REF!-#REF!+1)*#REF!,0)+#REF!-1&gt;=AL$6)</formula>
    </cfRule>
    <cfRule type="expression" dxfId="2" priority="431">
      <formula>AND(NOT(ISBLANK(#REF!)),#REF!&lt;=AL$6,#REF!&gt;=AL$6)</formula>
    </cfRule>
  </conditionalFormatting>
  <conditionalFormatting sqref="AL18">
    <cfRule type="expression" dxfId="1" priority="432">
      <formula>AND(#REF!&lt;=AL$6,ROUNDDOWN((#REF!-#REF!+1)*#REF!,0)+#REF!-1&gt;=AL$6)</formula>
    </cfRule>
    <cfRule type="expression" dxfId="0" priority="433">
      <formula>AND(NOT(ISBLANK(#REF!)),#REF!&lt;=AL$6,#REF!&gt;=AL$6)</formula>
    </cfRule>
  </conditionalFormatting>
  <dataValidations disablePrompts="1" count="1">
    <dataValidation allowBlank="1" showInputMessage="1" promptTitle="Display Week" prompt="Enter the week number to display first in the Gantt Chart. The weeks are numbered starting from the week containing the Project Start Date." sqref="H4" xr:uid="{2A1EE64C-F34D-48E0-90C8-3BE6BF7F3D0A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C3163-31B5-4D32-850A-B122219B0D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 H11 G9</xm:sqref>
        </x14:conditionalFormatting>
        <x14:conditionalFormatting xmlns:xm="http://schemas.microsoft.com/office/excel/2006/main">
          <x14:cfRule type="dataBar" id="{0ADE128C-D510-45BA-A15C-23E905039C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G12 G14</xm:sqref>
        </x14:conditionalFormatting>
        <x14:conditionalFormatting xmlns:xm="http://schemas.microsoft.com/office/excel/2006/main">
          <x14:cfRule type="dataBar" id="{63C889CC-6B43-40FE-99E3-F3FBEEDDAC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G15:G16</xm:sqref>
        </x14:conditionalFormatting>
        <x14:conditionalFormatting xmlns:xm="http://schemas.microsoft.com/office/excel/2006/main">
          <x14:cfRule type="dataBar" id="{67628C50-517E-4FF9-BE1F-1E493C7057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dataBar" id="{EF5CA769-97C1-4F0C-AEE8-939C789B9F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G18</xm:sqref>
        </x14:conditionalFormatting>
        <x14:conditionalFormatting xmlns:xm="http://schemas.microsoft.com/office/excel/2006/main">
          <x14:cfRule type="dataBar" id="{4F60523D-A698-4D76-880F-9E605B9BB6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G19</xm:sqref>
        </x14:conditionalFormatting>
        <x14:conditionalFormatting xmlns:xm="http://schemas.microsoft.com/office/excel/2006/main">
          <x14:cfRule type="dataBar" id="{C7AAFDCF-DAF2-442A-A564-9AE81BD74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G20</xm:sqref>
        </x14:conditionalFormatting>
        <x14:conditionalFormatting xmlns:xm="http://schemas.microsoft.com/office/excel/2006/main">
          <x14:cfRule type="dataBar" id="{06846E42-72C5-42EF-90CF-4B934C2EBA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5D1F8FA2-4436-40DF-A0BB-558EB12BC4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Sayfa1!prevWBS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2015-06-05T18:19:34Z</dcterms:created>
  <dcterms:modified xsi:type="dcterms:W3CDTF">2026-06-02T19:25:56Z</dcterms:modified>
</cp:coreProperties>
</file>