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Barfas\myPlans\"/>
    </mc:Choice>
  </mc:AlternateContent>
  <xr:revisionPtr revIDLastSave="0" documentId="13_ncr:1_{CB469956-FE6A-4157-8816-303DCF30E2F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ayfa1" sheetId="1" r:id="rId1"/>
  </sheets>
  <definedNames>
    <definedName name="prevWBS" localSheetId="0">Sayfa1!$A1048576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1" l="1"/>
  <c r="I13" i="1" s="1"/>
  <c r="I19" i="1" s="1"/>
  <c r="F11" i="1"/>
  <c r="F10" i="1"/>
  <c r="F9" i="1"/>
  <c r="F8" i="1"/>
  <c r="I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  <author>Vertex42.com Templates</author>
  </authors>
  <commentList>
    <comment ref="B7" authorId="0" shapeId="0" xr:uid="{FDD9EDE1-E4E8-4500-BD14-B94FC548038B}">
      <text>
        <r>
          <rPr>
            <b/>
            <sz val="9"/>
            <color indexed="81"/>
            <rFont val="Tahoma"/>
            <family val="2"/>
          </rPr>
          <t>Task Description</t>
        </r>
        <r>
          <rPr>
            <sz val="9"/>
            <color indexed="81"/>
            <rFont val="Tahoma"/>
            <family val="2"/>
          </rPr>
          <t xml:space="preserve">
Enter the name of each task and sub-task. Use indents for sub-tasks.</t>
        </r>
      </text>
    </comment>
    <comment ref="C7" authorId="0" shapeId="0" xr:uid="{22BE1652-0CBB-48CA-BCAC-68EE76A6A661}">
      <text>
        <r>
          <rPr>
            <b/>
            <sz val="9"/>
            <color indexed="81"/>
            <rFont val="Tahoma"/>
            <family val="2"/>
          </rPr>
          <t>Task Lead</t>
        </r>
        <r>
          <rPr>
            <sz val="9"/>
            <color indexed="81"/>
            <rFont val="Tahoma"/>
            <family val="2"/>
          </rPr>
          <t xml:space="preserve">
Enter the name of the Task Lead in this column.</t>
        </r>
      </text>
    </comment>
    <comment ref="D7" authorId="0" shapeId="0" xr:uid="{45ED21A9-71FD-4B12-93B7-16E638982CCE}">
      <text>
        <r>
          <rPr>
            <b/>
            <sz val="9"/>
            <color indexed="81"/>
            <rFont val="Tahoma"/>
            <family val="2"/>
          </rPr>
          <t xml:space="preserve">Predecessor Tasks:
</t>
        </r>
        <r>
          <rPr>
            <sz val="9"/>
            <color indexed="81"/>
            <rFont val="Tahoma"/>
            <family val="2"/>
          </rPr>
          <t>You can use this column to enter the WBS of a predecessor for reference. The PRO version uses formulas to automatically calculate the Start Date based on the Predecessor.</t>
        </r>
      </text>
    </comment>
    <comment ref="E7" authorId="0" shapeId="0" xr:uid="{84D12271-890D-479F-B167-423E7129BCDA}">
      <text>
        <r>
          <rPr>
            <b/>
            <sz val="9"/>
            <color indexed="81"/>
            <rFont val="Tahoma"/>
            <family val="2"/>
          </rPr>
          <t>Task Start Date</t>
        </r>
        <r>
          <rPr>
            <sz val="9"/>
            <color indexed="81"/>
            <rFont val="Tahoma"/>
            <family val="2"/>
          </rPr>
          <t xml:space="preserve">
You can manually enter the Start Date for each task or use a formula to create a dependency on a Predecessor. For example, you could enter </t>
        </r>
        <r>
          <rPr>
            <b/>
            <sz val="9"/>
            <color indexed="81"/>
            <rFont val="Tahoma"/>
            <family val="2"/>
          </rPr>
          <t>=</t>
        </r>
        <r>
          <rPr>
            <b/>
            <i/>
            <sz val="9"/>
            <color indexed="81"/>
            <rFont val="Tahoma"/>
            <family val="2"/>
          </rPr>
          <t>enddate</t>
        </r>
        <r>
          <rPr>
            <b/>
            <sz val="9"/>
            <color indexed="81"/>
            <rFont val="Tahoma"/>
            <family val="2"/>
          </rPr>
          <t>+1</t>
        </r>
        <r>
          <rPr>
            <sz val="9"/>
            <color indexed="81"/>
            <rFont val="Tahoma"/>
            <family val="2"/>
          </rPr>
          <t xml:space="preserve"> to set the Start date to the next calendar day, or </t>
        </r>
        <r>
          <rPr>
            <b/>
            <sz val="9"/>
            <color indexed="81"/>
            <rFont val="Tahoma"/>
            <family val="2"/>
          </rPr>
          <t>=WORKDAY(</t>
        </r>
        <r>
          <rPr>
            <b/>
            <i/>
            <sz val="9"/>
            <color indexed="81"/>
            <rFont val="Tahoma"/>
            <family val="2"/>
          </rPr>
          <t>enddate</t>
        </r>
        <r>
          <rPr>
            <b/>
            <sz val="9"/>
            <color indexed="81"/>
            <rFont val="Tahoma"/>
            <family val="2"/>
          </rPr>
          <t>,1)</t>
        </r>
        <r>
          <rPr>
            <sz val="9"/>
            <color indexed="81"/>
            <rFont val="Tahoma"/>
            <family val="2"/>
          </rPr>
          <t xml:space="preserve"> to set the Start date to the next work day (excluding weekends), where </t>
        </r>
        <r>
          <rPr>
            <i/>
            <sz val="9"/>
            <color indexed="81"/>
            <rFont val="Tahoma"/>
            <family val="2"/>
          </rPr>
          <t>enddate</t>
        </r>
        <r>
          <rPr>
            <sz val="9"/>
            <color indexed="81"/>
            <rFont val="Tahoma"/>
            <family val="2"/>
          </rPr>
          <t xml:space="preserve"> is the cell reference for the End date of the Predecessor task.</t>
        </r>
      </text>
    </comment>
    <comment ref="F7" authorId="1" shapeId="0" xr:uid="{3BB668F9-E4A3-4299-8548-0EFAF6DD3852}">
      <text>
        <r>
          <rPr>
            <b/>
            <sz val="9"/>
            <color indexed="81"/>
            <rFont val="Tahoma"/>
            <family val="2"/>
          </rPr>
          <t>End Date:</t>
        </r>
        <r>
          <rPr>
            <sz val="9"/>
            <color indexed="81"/>
            <rFont val="Tahoma"/>
            <family val="2"/>
          </rPr>
          <t xml:space="preserve">
The End Date is calculated based on the Start Date and the Calendar Days columns.</t>
        </r>
      </text>
    </comment>
    <comment ref="G7" authorId="0" shapeId="0" xr:uid="{234F072E-B21B-4FD2-8E43-9804D72F4B50}">
      <text>
        <r>
          <rPr>
            <b/>
            <sz val="9"/>
            <color indexed="81"/>
            <rFont val="Tahoma"/>
            <family val="2"/>
          </rPr>
          <t>Duration (Calendar Days)</t>
        </r>
        <r>
          <rPr>
            <sz val="9"/>
            <color indexed="81"/>
            <rFont val="Tahoma"/>
            <family val="2"/>
          </rPr>
          <t xml:space="preserve">
The duration is the number of calendar days for the given task. The duration is calculated as the </t>
        </r>
        <r>
          <rPr>
            <b/>
            <sz val="9"/>
            <color indexed="81"/>
            <rFont val="Tahoma"/>
            <family val="2"/>
          </rPr>
          <t>End</t>
        </r>
        <r>
          <rPr>
            <sz val="9"/>
            <color indexed="81"/>
            <rFont val="Tahoma"/>
            <family val="2"/>
          </rPr>
          <t xml:space="preserve"> Date minus the </t>
        </r>
        <r>
          <rPr>
            <b/>
            <sz val="9"/>
            <color indexed="81"/>
            <rFont val="Tahoma"/>
            <family val="2"/>
          </rPr>
          <t>Start</t>
        </r>
        <r>
          <rPr>
            <sz val="9"/>
            <color indexed="81"/>
            <rFont val="Tahoma"/>
            <family val="2"/>
          </rPr>
          <t xml:space="preserve"> Date plus 1 day, so that a task starting and ending on the same day has a duration of 1 day.
</t>
        </r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 The conditional formatting used to create the gantt chart references this column.</t>
        </r>
      </text>
    </comment>
    <comment ref="H7" authorId="0" shapeId="0" xr:uid="{F2EBC22E-FBED-4092-AEAE-AD0787FF5A7B}">
      <text>
        <r>
          <rPr>
            <b/>
            <sz val="9"/>
            <color indexed="81"/>
            <rFont val="Tahoma"/>
            <family val="2"/>
          </rPr>
          <t>Percent Complete</t>
        </r>
        <r>
          <rPr>
            <sz val="9"/>
            <color indexed="81"/>
            <rFont val="Tahoma"/>
            <family val="2"/>
          </rPr>
          <t xml:space="preserve">
Update the status of this task by entering the percent complete (between 0% and 100%).</t>
        </r>
      </text>
    </comment>
    <comment ref="I7" authorId="0" shapeId="0" xr:uid="{E472EB69-80C9-44D9-9C96-891C5832EE93}">
      <text>
        <r>
          <rPr>
            <b/>
            <sz val="9"/>
            <color indexed="81"/>
            <rFont val="Tahoma"/>
            <family val="2"/>
          </rPr>
          <t>Work Days</t>
        </r>
        <r>
          <rPr>
            <sz val="9"/>
            <color indexed="81"/>
            <rFont val="Tahoma"/>
            <family val="2"/>
          </rPr>
          <t xml:space="preserve">
Counts the number of work days, excluding the weekends (Saturday and Sunday). In the PRO version, you can customize the work week and list specific non-working days like holidays. In the PRO version, the default input is the Work Days instead of the Calendar Days.</t>
        </r>
      </text>
    </comment>
  </commentList>
</comments>
</file>

<file path=xl/sharedStrings.xml><?xml version="1.0" encoding="utf-8"?>
<sst xmlns="http://schemas.openxmlformats.org/spreadsheetml/2006/main" count="60" uniqueCount="27">
  <si>
    <t xml:space="preserve">Project Lead </t>
  </si>
  <si>
    <t>PREDECESSOR</t>
  </si>
  <si>
    <t>START</t>
  </si>
  <si>
    <t>END</t>
  </si>
  <si>
    <t>% DONE</t>
  </si>
  <si>
    <t>WORK DAYS</t>
  </si>
  <si>
    <t>BARFAS</t>
  </si>
  <si>
    <t>Burak YALIM</t>
  </si>
  <si>
    <t xml:space="preserve">Work Start Date </t>
  </si>
  <si>
    <t>HOURS</t>
  </si>
  <si>
    <t>#</t>
  </si>
  <si>
    <t>Hardware Development</t>
  </si>
  <si>
    <t>Toz Boya</t>
  </si>
  <si>
    <t>Software Development</t>
  </si>
  <si>
    <t>Service Type - Project Name</t>
  </si>
  <si>
    <t>OCAK 2026</t>
  </si>
  <si>
    <t>Total Hours</t>
  </si>
  <si>
    <t>Week-1</t>
  </si>
  <si>
    <t>Week-2</t>
  </si>
  <si>
    <t>Week-3</t>
  </si>
  <si>
    <t>Week-4</t>
  </si>
  <si>
    <t>S</t>
  </si>
  <si>
    <t>M</t>
  </si>
  <si>
    <t>T</t>
  </si>
  <si>
    <t>W</t>
  </si>
  <si>
    <t>F</t>
  </si>
  <si>
    <t>Week-5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</si>
</sst>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\ \(dddd\)"/>
    <numFmt numFmtId="165" formatCode="d\ mmm\ yyyy"/>
    <numFmt numFmtId="166" formatCode="d"/>
    <numFmt numFmtId="167" formatCode="ddd\ m/dd/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 Light"/>
      <family val="2"/>
      <scheme val="major"/>
    </font>
    <font>
      <sz val="10"/>
      <name val="Calibri"/>
      <family val="2"/>
      <scheme val="minor"/>
    </font>
    <font>
      <sz val="10"/>
      <name val="Calibri Light"/>
      <family val="1"/>
      <scheme val="major"/>
    </font>
    <font>
      <sz val="11"/>
      <name val="Calibri"/>
      <family val="2"/>
      <scheme val="minor"/>
    </font>
    <font>
      <sz val="8"/>
      <name val="Arial"/>
      <family val="2"/>
    </font>
    <font>
      <b/>
      <sz val="9"/>
      <name val="Calibri Light"/>
      <family val="2"/>
      <scheme val="major"/>
    </font>
    <font>
      <b/>
      <sz val="8"/>
      <name val="Calibri Light"/>
      <family val="2"/>
      <scheme val="maj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sz val="9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i/>
      <sz val="9"/>
      <color indexed="81"/>
      <name val="Tahoma"/>
      <family val="2"/>
    </font>
    <font>
      <b/>
      <sz val="12"/>
      <name val="Calibri Light"/>
      <family val="2"/>
      <charset val="162"/>
      <scheme val="major"/>
    </font>
    <font>
      <b/>
      <sz val="20"/>
      <color theme="4" tint="-0.249977111117893"/>
      <name val="Calibri Light"/>
      <family val="2"/>
      <charset val="162"/>
      <scheme val="major"/>
    </font>
    <font>
      <b/>
      <sz val="12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rgb="FFD6F4D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46">
    <border>
      <left/>
      <right/>
      <top/>
      <bottom/>
      <diagonal/>
    </border>
    <border>
      <left style="medium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thin">
        <color theme="0" tint="-0.24994659260841701"/>
      </right>
      <top/>
      <bottom style="medium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theme="0" tint="-0.34998626667073579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medium">
        <color theme="0" tint="-0.34998626667073579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/>
      <bottom style="medium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 shrinkToFit="1"/>
    </xf>
    <xf numFmtId="166" fontId="7" fillId="0" borderId="2" xfId="0" applyNumberFormat="1" applyFont="1" applyBorder="1" applyAlignment="1">
      <alignment horizontal="center" vertical="center" shrinkToFit="1"/>
    </xf>
    <xf numFmtId="166" fontId="7" fillId="0" borderId="3" xfId="0" applyNumberFormat="1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0" fontId="10" fillId="2" borderId="7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2" borderId="8" xfId="0" applyFont="1" applyFill="1" applyBorder="1" applyAlignment="1">
      <alignment horizontal="left" vertical="center"/>
    </xf>
    <xf numFmtId="165" fontId="4" fillId="0" borderId="9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vertical="center"/>
    </xf>
    <xf numFmtId="0" fontId="11" fillId="2" borderId="13" xfId="0" applyFont="1" applyFill="1" applyBorder="1" applyAlignment="1">
      <alignment vertical="center"/>
    </xf>
    <xf numFmtId="0" fontId="10" fillId="2" borderId="14" xfId="0" applyFont="1" applyFill="1" applyBorder="1" applyAlignment="1">
      <alignment vertical="center"/>
    </xf>
    <xf numFmtId="0" fontId="10" fillId="2" borderId="14" xfId="0" applyFont="1" applyFill="1" applyBorder="1" applyAlignment="1">
      <alignment horizontal="center" vertical="center"/>
    </xf>
    <xf numFmtId="167" fontId="10" fillId="2" borderId="14" xfId="0" applyNumberFormat="1" applyFont="1" applyFill="1" applyBorder="1" applyAlignment="1">
      <alignment horizontal="center" vertical="center"/>
    </xf>
    <xf numFmtId="1" fontId="10" fillId="2" borderId="14" xfId="1" applyNumberFormat="1" applyFont="1" applyFill="1" applyBorder="1" applyAlignment="1" applyProtection="1">
      <alignment horizontal="center" vertical="center"/>
    </xf>
    <xf numFmtId="9" fontId="10" fillId="2" borderId="14" xfId="1" applyFont="1" applyFill="1" applyBorder="1" applyAlignment="1" applyProtection="1">
      <alignment horizontal="center" vertical="center"/>
    </xf>
    <xf numFmtId="166" fontId="7" fillId="0" borderId="9" xfId="0" applyNumberFormat="1" applyFont="1" applyBorder="1" applyAlignment="1">
      <alignment horizontal="center" vertical="center" shrinkToFit="1"/>
    </xf>
    <xf numFmtId="0" fontId="10" fillId="0" borderId="16" xfId="0" applyFont="1" applyBorder="1" applyAlignment="1">
      <alignment horizontal="center" vertical="center" shrinkToFit="1"/>
    </xf>
    <xf numFmtId="0" fontId="3" fillId="0" borderId="10" xfId="0" applyFont="1" applyBorder="1"/>
    <xf numFmtId="0" fontId="3" fillId="0" borderId="10" xfId="0" applyFont="1" applyBorder="1" applyAlignment="1">
      <alignment horizontal="right" vertical="center"/>
    </xf>
    <xf numFmtId="164" fontId="4" fillId="0" borderId="10" xfId="0" applyNumberFormat="1" applyFont="1" applyBorder="1" applyAlignment="1" applyProtection="1">
      <alignment horizontal="center" vertical="center" shrinkToFit="1"/>
      <protection locked="0"/>
    </xf>
    <xf numFmtId="0" fontId="5" fillId="0" borderId="10" xfId="0" applyFont="1" applyBorder="1"/>
    <xf numFmtId="166" fontId="7" fillId="0" borderId="10" xfId="0" applyNumberFormat="1" applyFont="1" applyBorder="1" applyAlignment="1">
      <alignment horizontal="center" vertical="center" shrinkToFit="1"/>
    </xf>
    <xf numFmtId="0" fontId="10" fillId="0" borderId="10" xfId="0" applyFont="1" applyBorder="1" applyAlignment="1">
      <alignment horizontal="left" vertical="center"/>
    </xf>
    <xf numFmtId="0" fontId="10" fillId="0" borderId="10" xfId="0" applyFont="1" applyBorder="1" applyAlignment="1">
      <alignment vertical="center" wrapText="1"/>
    </xf>
    <xf numFmtId="0" fontId="10" fillId="0" borderId="10" xfId="0" applyFont="1" applyBorder="1" applyAlignment="1">
      <alignment vertical="center"/>
    </xf>
    <xf numFmtId="0" fontId="13" fillId="0" borderId="10" xfId="0" applyFont="1" applyBorder="1" applyAlignment="1">
      <alignment horizontal="center" vertical="center"/>
    </xf>
    <xf numFmtId="167" fontId="13" fillId="3" borderId="10" xfId="0" applyNumberFormat="1" applyFont="1" applyFill="1" applyBorder="1" applyAlignment="1">
      <alignment horizontal="center" vertical="center"/>
    </xf>
    <xf numFmtId="167" fontId="13" fillId="0" borderId="10" xfId="0" applyNumberFormat="1" applyFont="1" applyBorder="1" applyAlignment="1">
      <alignment horizontal="center" vertical="center"/>
    </xf>
    <xf numFmtId="1" fontId="13" fillId="4" borderId="10" xfId="0" applyNumberFormat="1" applyFont="1" applyFill="1" applyBorder="1" applyAlignment="1">
      <alignment horizontal="center" vertical="center"/>
    </xf>
    <xf numFmtId="9" fontId="13" fillId="4" borderId="10" xfId="1" applyFont="1" applyFill="1" applyBorder="1" applyAlignment="1" applyProtection="1">
      <alignment horizontal="center" vertical="center"/>
    </xf>
    <xf numFmtId="0" fontId="10" fillId="0" borderId="10" xfId="0" applyFont="1" applyFill="1" applyBorder="1" applyAlignment="1">
      <alignment horizontal="left" vertical="center"/>
    </xf>
    <xf numFmtId="9" fontId="10" fillId="0" borderId="10" xfId="0" applyNumberFormat="1" applyFont="1" applyFill="1" applyBorder="1" applyAlignment="1">
      <alignment horizontal="left" vertical="center"/>
    </xf>
    <xf numFmtId="0" fontId="10" fillId="0" borderId="19" xfId="0" applyFont="1" applyBorder="1" applyAlignment="1">
      <alignment vertical="center" wrapText="1"/>
    </xf>
    <xf numFmtId="0" fontId="10" fillId="0" borderId="19" xfId="0" applyFont="1" applyBorder="1" applyAlignment="1">
      <alignment vertical="center"/>
    </xf>
    <xf numFmtId="0" fontId="13" fillId="0" borderId="19" xfId="0" applyFont="1" applyBorder="1" applyAlignment="1">
      <alignment horizontal="center" vertical="center"/>
    </xf>
    <xf numFmtId="167" fontId="13" fillId="3" borderId="19" xfId="0" applyNumberFormat="1" applyFont="1" applyFill="1" applyBorder="1" applyAlignment="1">
      <alignment horizontal="center" vertical="center"/>
    </xf>
    <xf numFmtId="167" fontId="13" fillId="0" borderId="19" xfId="0" applyNumberFormat="1" applyFont="1" applyBorder="1" applyAlignment="1">
      <alignment horizontal="center" vertical="center"/>
    </xf>
    <xf numFmtId="1" fontId="13" fillId="4" borderId="19" xfId="0" applyNumberFormat="1" applyFont="1" applyFill="1" applyBorder="1" applyAlignment="1">
      <alignment horizontal="center" vertical="center"/>
    </xf>
    <xf numFmtId="9" fontId="13" fillId="4" borderId="19" xfId="1" applyFont="1" applyFill="1" applyBorder="1" applyAlignment="1" applyProtection="1">
      <alignment horizontal="center" vertical="center"/>
    </xf>
    <xf numFmtId="0" fontId="10" fillId="0" borderId="19" xfId="0" applyFont="1" applyBorder="1" applyAlignment="1">
      <alignment horizontal="left" vertical="center"/>
    </xf>
    <xf numFmtId="0" fontId="10" fillId="0" borderId="19" xfId="0" applyFont="1" applyFill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0" fillId="0" borderId="20" xfId="0" applyFont="1" applyBorder="1" applyAlignment="1">
      <alignment vertical="center" wrapText="1"/>
    </xf>
    <xf numFmtId="0" fontId="10" fillId="0" borderId="20" xfId="0" applyFont="1" applyBorder="1" applyAlignment="1">
      <alignment vertical="center"/>
    </xf>
    <xf numFmtId="0" fontId="13" fillId="0" borderId="20" xfId="0" applyFont="1" applyBorder="1" applyAlignment="1">
      <alignment horizontal="center" vertical="center"/>
    </xf>
    <xf numFmtId="167" fontId="13" fillId="3" borderId="20" xfId="0" applyNumberFormat="1" applyFont="1" applyFill="1" applyBorder="1" applyAlignment="1">
      <alignment horizontal="center" vertical="center"/>
    </xf>
    <xf numFmtId="167" fontId="13" fillId="0" borderId="20" xfId="0" applyNumberFormat="1" applyFont="1" applyBorder="1" applyAlignment="1">
      <alignment horizontal="center" vertical="center"/>
    </xf>
    <xf numFmtId="1" fontId="13" fillId="4" borderId="20" xfId="0" applyNumberFormat="1" applyFont="1" applyFill="1" applyBorder="1" applyAlignment="1">
      <alignment horizontal="center" vertical="center"/>
    </xf>
    <xf numFmtId="9" fontId="13" fillId="4" borderId="20" xfId="1" applyFont="1" applyFill="1" applyBorder="1" applyAlignment="1" applyProtection="1">
      <alignment horizontal="center" vertical="center"/>
    </xf>
    <xf numFmtId="0" fontId="11" fillId="2" borderId="13" xfId="0" applyFont="1" applyFill="1" applyBorder="1" applyAlignment="1">
      <alignment horizontal="left" vertical="center"/>
    </xf>
    <xf numFmtId="0" fontId="11" fillId="2" borderId="14" xfId="0" applyFont="1" applyFill="1" applyBorder="1" applyAlignment="1">
      <alignment vertical="center"/>
    </xf>
    <xf numFmtId="1" fontId="10" fillId="2" borderId="14" xfId="0" applyNumberFormat="1" applyFont="1" applyFill="1" applyBorder="1" applyAlignment="1">
      <alignment horizontal="center" vertical="center"/>
    </xf>
    <xf numFmtId="1" fontId="12" fillId="2" borderId="14" xfId="0" applyNumberFormat="1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left" vertical="center"/>
    </xf>
    <xf numFmtId="0" fontId="10" fillId="2" borderId="15" xfId="0" applyFont="1" applyFill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shrinkToFit="1"/>
    </xf>
    <xf numFmtId="0" fontId="10" fillId="0" borderId="20" xfId="0" applyFont="1" applyFill="1" applyBorder="1" applyAlignment="1">
      <alignment horizontal="left" vertical="center"/>
    </xf>
    <xf numFmtId="167" fontId="10" fillId="2" borderId="14" xfId="0" applyNumberFormat="1" applyFont="1" applyFill="1" applyBorder="1" applyAlignment="1">
      <alignment horizontal="right" vertical="center"/>
    </xf>
    <xf numFmtId="49" fontId="21" fillId="0" borderId="0" xfId="0" applyNumberFormat="1" applyFont="1" applyBorder="1" applyAlignment="1" applyProtection="1">
      <alignment horizontal="center" vertical="center" wrapText="1"/>
      <protection locked="0"/>
    </xf>
    <xf numFmtId="0" fontId="10" fillId="5" borderId="20" xfId="0" applyFont="1" applyFill="1" applyBorder="1" applyAlignment="1">
      <alignment horizontal="left" vertical="center"/>
    </xf>
    <xf numFmtId="0" fontId="10" fillId="5" borderId="10" xfId="0" applyFont="1" applyFill="1" applyBorder="1" applyAlignment="1">
      <alignment horizontal="left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49" fontId="21" fillId="0" borderId="27" xfId="0" applyNumberFormat="1" applyFont="1" applyBorder="1" applyAlignment="1" applyProtection="1">
      <alignment horizontal="center" vertical="center" wrapText="1"/>
      <protection locked="0"/>
    </xf>
    <xf numFmtId="49" fontId="21" fillId="0" borderId="28" xfId="0" applyNumberFormat="1" applyFont="1" applyBorder="1" applyAlignment="1" applyProtection="1">
      <alignment horizontal="center" vertical="center" wrapText="1"/>
      <protection locked="0"/>
    </xf>
    <xf numFmtId="49" fontId="21" fillId="0" borderId="30" xfId="0" applyNumberFormat="1" applyFont="1" applyBorder="1" applyAlignment="1" applyProtection="1">
      <alignment horizontal="center" vertical="center" wrapText="1"/>
      <protection locked="0"/>
    </xf>
    <xf numFmtId="0" fontId="3" fillId="0" borderId="29" xfId="0" applyFont="1" applyBorder="1"/>
    <xf numFmtId="0" fontId="6" fillId="0" borderId="31" xfId="0" applyFont="1" applyBorder="1" applyAlignment="1">
      <alignment horizontal="center" vertical="center"/>
    </xf>
    <xf numFmtId="0" fontId="5" fillId="0" borderId="29" xfId="0" applyFont="1" applyBorder="1"/>
    <xf numFmtId="166" fontId="7" fillId="0" borderId="32" xfId="0" applyNumberFormat="1" applyFont="1" applyBorder="1" applyAlignment="1">
      <alignment horizontal="center" vertical="center" shrinkToFit="1"/>
    </xf>
    <xf numFmtId="0" fontId="8" fillId="0" borderId="33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10" fillId="0" borderId="36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10" fillId="0" borderId="32" xfId="0" applyFont="1" applyBorder="1" applyAlignment="1">
      <alignment horizontal="left" vertical="center"/>
    </xf>
    <xf numFmtId="0" fontId="10" fillId="5" borderId="32" xfId="0" applyFont="1" applyFill="1" applyBorder="1" applyAlignment="1">
      <alignment horizontal="left" vertical="center"/>
    </xf>
    <xf numFmtId="0" fontId="10" fillId="0" borderId="33" xfId="0" applyFont="1" applyBorder="1" applyAlignment="1">
      <alignment horizontal="left" vertical="center"/>
    </xf>
    <xf numFmtId="0" fontId="10" fillId="0" borderId="34" xfId="0" applyFont="1" applyBorder="1" applyAlignment="1">
      <alignment horizontal="left" vertical="center"/>
    </xf>
    <xf numFmtId="0" fontId="3" fillId="0" borderId="17" xfId="0" applyFont="1" applyBorder="1"/>
    <xf numFmtId="0" fontId="5" fillId="0" borderId="17" xfId="0" applyFont="1" applyBorder="1"/>
    <xf numFmtId="0" fontId="8" fillId="0" borderId="22" xfId="0" applyFont="1" applyBorder="1" applyAlignment="1">
      <alignment horizontal="center" vertical="center" wrapText="1"/>
    </xf>
    <xf numFmtId="1" fontId="13" fillId="0" borderId="24" xfId="0" applyNumberFormat="1" applyFont="1" applyBorder="1" applyAlignment="1">
      <alignment horizontal="center" vertical="center"/>
    </xf>
    <xf numFmtId="1" fontId="13" fillId="0" borderId="17" xfId="0" applyNumberFormat="1" applyFont="1" applyBorder="1" applyAlignment="1">
      <alignment horizontal="center" vertical="center"/>
    </xf>
    <xf numFmtId="1" fontId="13" fillId="0" borderId="22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166" fontId="7" fillId="0" borderId="18" xfId="0" applyNumberFormat="1" applyFont="1" applyBorder="1" applyAlignment="1">
      <alignment horizontal="center" vertical="center" shrinkToFit="1"/>
    </xf>
    <xf numFmtId="0" fontId="10" fillId="0" borderId="26" xfId="0" applyFont="1" applyFill="1" applyBorder="1" applyAlignment="1">
      <alignment horizontal="left" vertical="center"/>
    </xf>
    <xf numFmtId="0" fontId="10" fillId="0" borderId="18" xfId="0" applyFont="1" applyFill="1" applyBorder="1" applyAlignment="1">
      <alignment horizontal="left" vertical="center"/>
    </xf>
    <xf numFmtId="0" fontId="10" fillId="0" borderId="23" xfId="0" applyFont="1" applyFill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5" fillId="2" borderId="41" xfId="0" applyFont="1" applyFill="1" applyBorder="1"/>
    <xf numFmtId="0" fontId="8" fillId="2" borderId="42" xfId="0" applyFont="1" applyFill="1" applyBorder="1" applyAlignment="1">
      <alignment horizontal="center" vertical="center" wrapText="1"/>
    </xf>
    <xf numFmtId="1" fontId="14" fillId="2" borderId="40" xfId="0" applyNumberFormat="1" applyFont="1" applyFill="1" applyBorder="1" applyAlignment="1">
      <alignment horizontal="center" vertical="center"/>
    </xf>
    <xf numFmtId="1" fontId="14" fillId="2" borderId="41" xfId="0" applyNumberFormat="1" applyFont="1" applyFill="1" applyBorder="1" applyAlignment="1">
      <alignment horizontal="center" vertical="center"/>
    </xf>
    <xf numFmtId="1" fontId="14" fillId="2" borderId="42" xfId="0" applyNumberFormat="1" applyFont="1" applyFill="1" applyBorder="1" applyAlignment="1">
      <alignment horizontal="center" vertical="center"/>
    </xf>
    <xf numFmtId="1" fontId="22" fillId="2" borderId="12" xfId="0" applyNumberFormat="1" applyFont="1" applyFill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9" fontId="21" fillId="0" borderId="44" xfId="0" applyNumberFormat="1" applyFont="1" applyBorder="1" applyAlignment="1" applyProtection="1">
      <alignment horizontal="center" vertical="center" wrapText="1"/>
      <protection locked="0"/>
    </xf>
    <xf numFmtId="49" fontId="21" fillId="0" borderId="45" xfId="0" applyNumberFormat="1" applyFont="1" applyBorder="1" applyAlignment="1" applyProtection="1">
      <alignment horizontal="center" vertical="center" wrapText="1"/>
      <protection locked="0"/>
    </xf>
    <xf numFmtId="49" fontId="21" fillId="0" borderId="37" xfId="0" applyNumberFormat="1" applyFont="1" applyBorder="1" applyAlignment="1" applyProtection="1">
      <alignment horizontal="center" vertical="center" wrapText="1"/>
      <protection locked="0"/>
    </xf>
    <xf numFmtId="49" fontId="21" fillId="0" borderId="38" xfId="0" applyNumberFormat="1" applyFont="1" applyBorder="1" applyAlignment="1" applyProtection="1">
      <alignment horizontal="center" vertical="center" wrapText="1"/>
      <protection locked="0"/>
    </xf>
    <xf numFmtId="49" fontId="21" fillId="0" borderId="39" xfId="0" applyNumberFormat="1" applyFont="1" applyBorder="1" applyAlignment="1" applyProtection="1">
      <alignment horizontal="center" vertical="center" wrapText="1"/>
      <protection locked="0"/>
    </xf>
    <xf numFmtId="0" fontId="3" fillId="0" borderId="35" xfId="0" applyFont="1" applyBorder="1"/>
    <xf numFmtId="0" fontId="3" fillId="0" borderId="20" xfId="0" applyFont="1" applyBorder="1" applyAlignment="1">
      <alignment horizontal="right" vertical="center"/>
    </xf>
    <xf numFmtId="164" fontId="4" fillId="0" borderId="20" xfId="0" applyNumberFormat="1" applyFont="1" applyBorder="1" applyAlignment="1" applyProtection="1">
      <alignment horizontal="center" vertical="center" shrinkToFit="1"/>
      <protection locked="0"/>
    </xf>
    <xf numFmtId="0" fontId="3" fillId="0" borderId="20" xfId="0" applyFont="1" applyBorder="1"/>
    <xf numFmtId="0" fontId="4" fillId="0" borderId="20" xfId="0" applyFont="1" applyBorder="1" applyAlignment="1" applyProtection="1">
      <alignment horizontal="center" vertical="center"/>
      <protection locked="0"/>
    </xf>
    <xf numFmtId="0" fontId="2" fillId="0" borderId="24" xfId="0" applyFont="1" applyBorder="1"/>
    <xf numFmtId="0" fontId="21" fillId="0" borderId="44" xfId="0" applyFont="1" applyBorder="1" applyAlignment="1" applyProtection="1">
      <alignment horizontal="center" vertical="center" wrapText="1"/>
      <protection locked="0"/>
    </xf>
    <xf numFmtId="0" fontId="21" fillId="0" borderId="27" xfId="0" applyFont="1" applyBorder="1" applyAlignment="1" applyProtection="1">
      <alignment horizontal="center" vertical="center" wrapText="1"/>
      <protection locked="0"/>
    </xf>
    <xf numFmtId="0" fontId="21" fillId="0" borderId="28" xfId="0" applyFont="1" applyBorder="1" applyAlignment="1" applyProtection="1">
      <alignment horizontal="center" vertical="center" wrapText="1"/>
      <protection locked="0"/>
    </xf>
    <xf numFmtId="0" fontId="21" fillId="0" borderId="37" xfId="0" applyFont="1" applyBorder="1" applyAlignment="1" applyProtection="1">
      <alignment horizontal="center" vertical="center" wrapText="1"/>
      <protection locked="0"/>
    </xf>
    <xf numFmtId="0" fontId="21" fillId="0" borderId="38" xfId="0" applyFont="1" applyBorder="1" applyAlignment="1" applyProtection="1">
      <alignment horizontal="center" vertical="center" wrapText="1"/>
      <protection locked="0"/>
    </xf>
    <xf numFmtId="0" fontId="21" fillId="0" borderId="39" xfId="0" applyFont="1" applyBorder="1" applyAlignment="1" applyProtection="1">
      <alignment horizontal="center" vertical="center" wrapText="1"/>
      <protection locked="0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14" xfId="0" applyFont="1" applyBorder="1" applyAlignment="1" applyProtection="1">
      <alignment horizontal="center" vertical="center"/>
      <protection locked="0"/>
    </xf>
    <xf numFmtId="0" fontId="20" fillId="0" borderId="15" xfId="0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Yüzde" xfId="1" builtinId="5"/>
  </cellStyles>
  <dxfs count="9"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9"/>
  <sheetViews>
    <sheetView tabSelected="1" workbookViewId="0">
      <selection sqref="A1:I2"/>
    </sheetView>
  </sheetViews>
  <sheetFormatPr defaultColWidth="0" defaultRowHeight="15" zeroHeight="1" x14ac:dyDescent="0.25"/>
  <cols>
    <col min="1" max="1" width="6.85546875" customWidth="1"/>
    <col min="2" max="2" width="24.85546875" bestFit="1" customWidth="1"/>
    <col min="3" max="3" width="7.7109375" customWidth="1"/>
    <col min="4" max="4" width="6.85546875" hidden="1" customWidth="1"/>
    <col min="5" max="6" width="12" customWidth="1"/>
    <col min="7" max="7" width="11.42578125" bestFit="1" customWidth="1"/>
    <col min="8" max="9" width="6.7109375" customWidth="1"/>
    <col min="10" max="10" width="1.85546875" customWidth="1"/>
    <col min="11" max="38" width="3.28515625" customWidth="1"/>
    <col min="39" max="39" width="4.42578125" customWidth="1"/>
    <col min="40" max="45" width="3.28515625" customWidth="1"/>
    <col min="46" max="67" width="9" hidden="1"/>
    <col min="68" max="16384" width="9.140625" hidden="1"/>
  </cols>
  <sheetData>
    <row r="1" spans="1:66" ht="26.25" customHeight="1" x14ac:dyDescent="0.25">
      <c r="A1" s="131" t="s">
        <v>6</v>
      </c>
      <c r="B1" s="132"/>
      <c r="C1" s="132"/>
      <c r="D1" s="132"/>
      <c r="E1" s="132"/>
      <c r="F1" s="132"/>
      <c r="G1" s="132"/>
      <c r="H1" s="132"/>
      <c r="I1" s="133"/>
      <c r="J1" s="111"/>
      <c r="K1" s="120" t="s">
        <v>15</v>
      </c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3"/>
    </row>
    <row r="2" spans="1:66" ht="15.75" customHeight="1" thickBot="1" x14ac:dyDescent="0.3">
      <c r="A2" s="134"/>
      <c r="B2" s="135"/>
      <c r="C2" s="135"/>
      <c r="D2" s="135"/>
      <c r="E2" s="135"/>
      <c r="F2" s="135"/>
      <c r="G2" s="135"/>
      <c r="H2" s="135"/>
      <c r="I2" s="136"/>
      <c r="J2" s="111"/>
      <c r="K2" s="121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84"/>
    </row>
    <row r="3" spans="1:66" ht="15.75" customHeight="1" thickBot="1" x14ac:dyDescent="0.3">
      <c r="A3" s="137" t="s">
        <v>7</v>
      </c>
      <c r="B3" s="138"/>
      <c r="C3" s="138"/>
      <c r="D3" s="138"/>
      <c r="E3" s="138"/>
      <c r="F3" s="138"/>
      <c r="G3" s="138"/>
      <c r="H3" s="138"/>
      <c r="I3" s="139"/>
      <c r="J3" s="111"/>
      <c r="K3" s="122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4"/>
    </row>
    <row r="4" spans="1:66" x14ac:dyDescent="0.25">
      <c r="A4" s="125"/>
      <c r="B4" s="126" t="s">
        <v>8</v>
      </c>
      <c r="C4" s="127">
        <v>46050</v>
      </c>
      <c r="D4" s="127"/>
      <c r="E4" s="127"/>
      <c r="F4" s="128"/>
      <c r="G4" s="126"/>
      <c r="H4" s="129"/>
      <c r="I4" s="130"/>
      <c r="J4" s="111"/>
      <c r="K4" s="20" t="s">
        <v>17</v>
      </c>
      <c r="L4" s="20"/>
      <c r="M4" s="20"/>
      <c r="N4" s="20"/>
      <c r="O4" s="20"/>
      <c r="P4" s="20"/>
      <c r="Q4" s="117"/>
      <c r="R4" s="118" t="s">
        <v>18</v>
      </c>
      <c r="S4" s="20"/>
      <c r="T4" s="20"/>
      <c r="U4" s="20"/>
      <c r="V4" s="20"/>
      <c r="W4" s="20"/>
      <c r="X4" s="117"/>
      <c r="Y4" s="118" t="s">
        <v>19</v>
      </c>
      <c r="Z4" s="20"/>
      <c r="AA4" s="20"/>
      <c r="AB4" s="20"/>
      <c r="AC4" s="20"/>
      <c r="AD4" s="20"/>
      <c r="AE4" s="117"/>
      <c r="AF4" s="118" t="s">
        <v>20</v>
      </c>
      <c r="AG4" s="20"/>
      <c r="AH4" s="20"/>
      <c r="AI4" s="20"/>
      <c r="AJ4" s="20"/>
      <c r="AK4" s="20"/>
      <c r="AL4" s="117"/>
      <c r="AM4" s="118" t="s">
        <v>26</v>
      </c>
      <c r="AN4" s="20"/>
      <c r="AO4" s="20"/>
      <c r="AP4" s="20"/>
      <c r="AQ4" s="20"/>
      <c r="AR4" s="20"/>
      <c r="AS4" s="119"/>
      <c r="AT4" s="21"/>
      <c r="AU4" s="3"/>
      <c r="AV4" s="3"/>
      <c r="AW4" s="3"/>
      <c r="AX4" s="3"/>
      <c r="AY4" s="3"/>
      <c r="AZ4" s="4"/>
      <c r="BA4" s="2"/>
      <c r="BB4" s="3"/>
      <c r="BC4" s="3"/>
      <c r="BD4" s="3"/>
      <c r="BE4" s="3"/>
      <c r="BF4" s="3"/>
      <c r="BG4" s="4"/>
      <c r="BH4" s="2"/>
      <c r="BI4" s="3"/>
      <c r="BJ4" s="3"/>
      <c r="BK4" s="3"/>
      <c r="BL4" s="3"/>
      <c r="BM4" s="3"/>
      <c r="BN4" s="4"/>
    </row>
    <row r="5" spans="1:66" x14ac:dyDescent="0.25">
      <c r="A5" s="85"/>
      <c r="B5" s="32" t="s">
        <v>0</v>
      </c>
      <c r="C5" s="33"/>
      <c r="D5" s="33"/>
      <c r="E5" s="33"/>
      <c r="F5" s="31"/>
      <c r="G5" s="31"/>
      <c r="H5" s="31"/>
      <c r="I5" s="97"/>
      <c r="J5" s="111"/>
      <c r="K5" s="80"/>
      <c r="L5" s="80"/>
      <c r="M5" s="80"/>
      <c r="N5" s="80"/>
      <c r="O5" s="80"/>
      <c r="P5" s="80"/>
      <c r="Q5" s="81"/>
      <c r="R5" s="79"/>
      <c r="S5" s="80"/>
      <c r="T5" s="80"/>
      <c r="U5" s="80"/>
      <c r="V5" s="80"/>
      <c r="W5" s="80"/>
      <c r="X5" s="81"/>
      <c r="Y5" s="79"/>
      <c r="Z5" s="80"/>
      <c r="AA5" s="80"/>
      <c r="AB5" s="80"/>
      <c r="AC5" s="80"/>
      <c r="AD5" s="80"/>
      <c r="AE5" s="81"/>
      <c r="AF5" s="79"/>
      <c r="AG5" s="80"/>
      <c r="AH5" s="80"/>
      <c r="AI5" s="80"/>
      <c r="AJ5" s="80"/>
      <c r="AK5" s="80"/>
      <c r="AL5" s="81"/>
      <c r="AM5" s="79"/>
      <c r="AN5" s="80"/>
      <c r="AO5" s="80"/>
      <c r="AP5" s="80"/>
      <c r="AQ5" s="80"/>
      <c r="AR5" s="80"/>
      <c r="AS5" s="86"/>
      <c r="AT5" s="19"/>
      <c r="AU5" s="6"/>
      <c r="AV5" s="6"/>
      <c r="AW5" s="6"/>
      <c r="AX5" s="6"/>
      <c r="AY5" s="6"/>
      <c r="AZ5" s="7"/>
      <c r="BA5" s="5"/>
      <c r="BB5" s="6"/>
      <c r="BC5" s="6"/>
      <c r="BD5" s="6"/>
      <c r="BE5" s="6"/>
      <c r="BF5" s="6"/>
      <c r="BG5" s="7"/>
      <c r="BH5" s="5"/>
      <c r="BI5" s="6"/>
      <c r="BJ5" s="6"/>
      <c r="BK5" s="6"/>
      <c r="BL5" s="6"/>
      <c r="BM5" s="6"/>
      <c r="BN5" s="7"/>
    </row>
    <row r="6" spans="1:66" x14ac:dyDescent="0.25">
      <c r="A6" s="87"/>
      <c r="B6" s="34"/>
      <c r="C6" s="34"/>
      <c r="D6" s="34"/>
      <c r="E6" s="34"/>
      <c r="F6" s="34"/>
      <c r="G6" s="34"/>
      <c r="H6" s="34"/>
      <c r="I6" s="98"/>
      <c r="J6" s="111"/>
      <c r="K6" s="104"/>
      <c r="L6" s="35"/>
      <c r="M6" s="35"/>
      <c r="N6" s="35">
        <v>1</v>
      </c>
      <c r="O6" s="35">
        <v>2</v>
      </c>
      <c r="P6" s="35">
        <v>3</v>
      </c>
      <c r="Q6" s="35">
        <v>4</v>
      </c>
      <c r="R6" s="35">
        <v>5</v>
      </c>
      <c r="S6" s="35">
        <v>6</v>
      </c>
      <c r="T6" s="35">
        <v>7</v>
      </c>
      <c r="U6" s="35">
        <v>8</v>
      </c>
      <c r="V6" s="35">
        <v>9</v>
      </c>
      <c r="W6" s="35">
        <v>10</v>
      </c>
      <c r="X6" s="35">
        <v>11</v>
      </c>
      <c r="Y6" s="35">
        <v>12</v>
      </c>
      <c r="Z6" s="35">
        <v>13</v>
      </c>
      <c r="AA6" s="35">
        <v>14</v>
      </c>
      <c r="AB6" s="35">
        <v>15</v>
      </c>
      <c r="AC6" s="35">
        <v>16</v>
      </c>
      <c r="AD6" s="35">
        <v>17</v>
      </c>
      <c r="AE6" s="35">
        <v>18</v>
      </c>
      <c r="AF6" s="35">
        <v>19</v>
      </c>
      <c r="AG6" s="35">
        <v>20</v>
      </c>
      <c r="AH6" s="35">
        <v>21</v>
      </c>
      <c r="AI6" s="35">
        <v>22</v>
      </c>
      <c r="AJ6" s="35">
        <v>23</v>
      </c>
      <c r="AK6" s="35">
        <v>24</v>
      </c>
      <c r="AL6" s="35">
        <v>25</v>
      </c>
      <c r="AM6" s="35">
        <v>26</v>
      </c>
      <c r="AN6" s="35">
        <v>27</v>
      </c>
      <c r="AO6" s="35">
        <v>28</v>
      </c>
      <c r="AP6" s="35">
        <v>29</v>
      </c>
      <c r="AQ6" s="35">
        <v>30</v>
      </c>
      <c r="AR6" s="35">
        <v>31</v>
      </c>
      <c r="AS6" s="88"/>
      <c r="AT6" s="29"/>
      <c r="AU6" s="9"/>
      <c r="AV6" s="9"/>
      <c r="AW6" s="9"/>
      <c r="AX6" s="9"/>
      <c r="AY6" s="9"/>
      <c r="AZ6" s="10"/>
      <c r="BA6" s="8"/>
      <c r="BB6" s="9"/>
      <c r="BC6" s="9"/>
      <c r="BD6" s="9"/>
      <c r="BE6" s="9"/>
      <c r="BF6" s="9"/>
      <c r="BG6" s="10"/>
      <c r="BH6" s="8"/>
      <c r="BI6" s="9"/>
      <c r="BJ6" s="9"/>
      <c r="BK6" s="9"/>
      <c r="BL6" s="9"/>
      <c r="BM6" s="9"/>
      <c r="BN6" s="10"/>
    </row>
    <row r="7" spans="1:66" s="1" customFormat="1" ht="24.75" thickBot="1" x14ac:dyDescent="0.25">
      <c r="A7" s="89"/>
      <c r="B7" s="69" t="s">
        <v>14</v>
      </c>
      <c r="C7" s="70"/>
      <c r="D7" s="71" t="s">
        <v>1</v>
      </c>
      <c r="E7" s="72" t="s">
        <v>2</v>
      </c>
      <c r="F7" s="72" t="s">
        <v>3</v>
      </c>
      <c r="G7" s="70" t="s">
        <v>5</v>
      </c>
      <c r="H7" s="70" t="s">
        <v>4</v>
      </c>
      <c r="I7" s="99" t="s">
        <v>9</v>
      </c>
      <c r="J7" s="112"/>
      <c r="K7" s="73" t="s">
        <v>22</v>
      </c>
      <c r="L7" s="73" t="s">
        <v>23</v>
      </c>
      <c r="M7" s="73" t="s">
        <v>24</v>
      </c>
      <c r="N7" s="73" t="s">
        <v>23</v>
      </c>
      <c r="O7" s="73" t="s">
        <v>25</v>
      </c>
      <c r="P7" s="73" t="s">
        <v>21</v>
      </c>
      <c r="Q7" s="73" t="s">
        <v>21</v>
      </c>
      <c r="R7" s="73" t="s">
        <v>22</v>
      </c>
      <c r="S7" s="73" t="s">
        <v>23</v>
      </c>
      <c r="T7" s="73" t="s">
        <v>24</v>
      </c>
      <c r="U7" s="73" t="s">
        <v>23</v>
      </c>
      <c r="V7" s="73" t="s">
        <v>25</v>
      </c>
      <c r="W7" s="73" t="s">
        <v>21</v>
      </c>
      <c r="X7" s="73" t="s">
        <v>21</v>
      </c>
      <c r="Y7" s="73" t="s">
        <v>22</v>
      </c>
      <c r="Z7" s="73" t="s">
        <v>23</v>
      </c>
      <c r="AA7" s="73" t="s">
        <v>24</v>
      </c>
      <c r="AB7" s="73" t="s">
        <v>23</v>
      </c>
      <c r="AC7" s="73" t="s">
        <v>25</v>
      </c>
      <c r="AD7" s="73" t="s">
        <v>21</v>
      </c>
      <c r="AE7" s="73" t="s">
        <v>21</v>
      </c>
      <c r="AF7" s="73" t="s">
        <v>22</v>
      </c>
      <c r="AG7" s="73" t="s">
        <v>23</v>
      </c>
      <c r="AH7" s="73" t="s">
        <v>24</v>
      </c>
      <c r="AI7" s="73" t="s">
        <v>23</v>
      </c>
      <c r="AJ7" s="73" t="s">
        <v>25</v>
      </c>
      <c r="AK7" s="73" t="s">
        <v>21</v>
      </c>
      <c r="AL7" s="73" t="s">
        <v>21</v>
      </c>
      <c r="AM7" s="73" t="s">
        <v>22</v>
      </c>
      <c r="AN7" s="73" t="s">
        <v>23</v>
      </c>
      <c r="AO7" s="73" t="s">
        <v>24</v>
      </c>
      <c r="AP7" s="73" t="s">
        <v>23</v>
      </c>
      <c r="AQ7" s="73" t="s">
        <v>25</v>
      </c>
      <c r="AR7" s="73" t="s">
        <v>21</v>
      </c>
      <c r="AS7" s="73" t="s">
        <v>21</v>
      </c>
      <c r="AT7" s="30"/>
      <c r="AU7" s="12"/>
      <c r="AV7" s="12"/>
      <c r="AW7" s="12"/>
      <c r="AX7" s="12"/>
      <c r="AY7" s="12"/>
      <c r="AZ7" s="13"/>
      <c r="BA7" s="11"/>
      <c r="BB7" s="12"/>
      <c r="BC7" s="12"/>
      <c r="BD7" s="12"/>
      <c r="BE7" s="12"/>
      <c r="BF7" s="12"/>
      <c r="BG7" s="13"/>
      <c r="BH7" s="11"/>
      <c r="BI7" s="12"/>
      <c r="BJ7" s="12"/>
      <c r="BK7" s="12"/>
      <c r="BL7" s="12"/>
      <c r="BM7" s="12"/>
      <c r="BN7" s="13"/>
    </row>
    <row r="8" spans="1:66" s="15" customFormat="1" ht="19.5" thickBot="1" x14ac:dyDescent="0.3">
      <c r="A8" s="63" t="s">
        <v>10</v>
      </c>
      <c r="B8" s="64" t="s">
        <v>11</v>
      </c>
      <c r="C8" s="24"/>
      <c r="D8" s="25"/>
      <c r="E8" s="75"/>
      <c r="F8" s="26" t="str">
        <f>IF(ISBLANK(E8)," - ",IF(G8=0,E8,E8+G8-1))</f>
        <v xml:space="preserve"> - </v>
      </c>
      <c r="G8" s="27"/>
      <c r="H8" s="28"/>
      <c r="I8" s="65" t="str">
        <f t="shared" ref="I8:I13" si="0">IF(OR(F8=0,E8=0)," - ",NETWORKDAYS(E8,F8))</f>
        <v xml:space="preserve"> - </v>
      </c>
      <c r="J8" s="66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8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</row>
    <row r="9" spans="1:66" s="17" customFormat="1" ht="18.75" x14ac:dyDescent="0.25">
      <c r="A9" s="90">
        <v>1</v>
      </c>
      <c r="B9" s="56" t="s">
        <v>12</v>
      </c>
      <c r="C9" s="57"/>
      <c r="D9" s="58"/>
      <c r="E9" s="59">
        <v>46050</v>
      </c>
      <c r="F9" s="60">
        <f>IF(ISBLANK(E9)," - ",IF(G9=0,E9,E9+G9-1))</f>
        <v>46050</v>
      </c>
      <c r="G9" s="61">
        <v>1</v>
      </c>
      <c r="H9" s="62">
        <v>0.2</v>
      </c>
      <c r="I9" s="100">
        <v>4</v>
      </c>
      <c r="J9" s="113"/>
      <c r="K9" s="105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77"/>
      <c r="AQ9" s="55"/>
      <c r="AR9" s="55"/>
      <c r="AS9" s="91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</row>
    <row r="10" spans="1:66" s="17" customFormat="1" ht="18.75" x14ac:dyDescent="0.25">
      <c r="A10" s="92">
        <v>2</v>
      </c>
      <c r="B10" s="37" t="s">
        <v>12</v>
      </c>
      <c r="C10" s="38"/>
      <c r="D10" s="39"/>
      <c r="E10" s="40">
        <v>46052</v>
      </c>
      <c r="F10" s="41">
        <f t="shared" ref="F10:F13" si="1">IF(ISBLANK(E10)," - ",IF(G10=0,E10,E10+G10-1))</f>
        <v>46052</v>
      </c>
      <c r="G10" s="42">
        <v>1</v>
      </c>
      <c r="H10" s="43">
        <v>0.8</v>
      </c>
      <c r="I10" s="101">
        <v>3</v>
      </c>
      <c r="J10" s="114"/>
      <c r="K10" s="106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78"/>
      <c r="AS10" s="93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</row>
    <row r="11" spans="1:66" s="17" customFormat="1" ht="18.75" x14ac:dyDescent="0.25">
      <c r="A11" s="92">
        <v>3</v>
      </c>
      <c r="B11" s="37" t="s">
        <v>12</v>
      </c>
      <c r="C11" s="38"/>
      <c r="D11" s="39"/>
      <c r="E11" s="40">
        <v>46053</v>
      </c>
      <c r="F11" s="41">
        <f t="shared" si="1"/>
        <v>46053</v>
      </c>
      <c r="G11" s="42">
        <v>1</v>
      </c>
      <c r="H11" s="43">
        <v>1</v>
      </c>
      <c r="I11" s="101">
        <v>9</v>
      </c>
      <c r="J11" s="114"/>
      <c r="K11" s="106"/>
      <c r="L11" s="44"/>
      <c r="M11" s="45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94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</row>
    <row r="12" spans="1:66" s="17" customFormat="1" ht="19.5" thickBot="1" x14ac:dyDescent="0.3">
      <c r="A12" s="95"/>
      <c r="B12" s="46"/>
      <c r="C12" s="47"/>
      <c r="D12" s="48"/>
      <c r="E12" s="49"/>
      <c r="F12" s="50"/>
      <c r="G12" s="51"/>
      <c r="H12" s="52"/>
      <c r="I12" s="102"/>
      <c r="J12" s="115"/>
      <c r="K12" s="107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9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</row>
    <row r="13" spans="1:66" s="15" customFormat="1" ht="19.5" thickBot="1" x14ac:dyDescent="0.3">
      <c r="A13" s="63" t="s">
        <v>10</v>
      </c>
      <c r="B13" s="64" t="s">
        <v>13</v>
      </c>
      <c r="C13" s="24"/>
      <c r="D13" s="25"/>
      <c r="E13" s="26"/>
      <c r="F13" s="26" t="str">
        <f t="shared" si="1"/>
        <v xml:space="preserve"> - </v>
      </c>
      <c r="G13" s="27"/>
      <c r="H13" s="28"/>
      <c r="I13" s="65" t="str">
        <f t="shared" si="0"/>
        <v xml:space="preserve"> - </v>
      </c>
      <c r="J13" s="66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</row>
    <row r="14" spans="1:66" s="17" customFormat="1" ht="18.75" x14ac:dyDescent="0.25">
      <c r="A14" s="90"/>
      <c r="B14" s="56"/>
      <c r="C14" s="57"/>
      <c r="D14" s="58"/>
      <c r="E14" s="59"/>
      <c r="F14" s="60"/>
      <c r="G14" s="61"/>
      <c r="H14" s="62"/>
      <c r="I14" s="100"/>
      <c r="J14" s="113"/>
      <c r="K14" s="108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91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</row>
    <row r="15" spans="1:66" s="17" customFormat="1" ht="18.75" x14ac:dyDescent="0.25">
      <c r="A15" s="92"/>
      <c r="B15" s="37"/>
      <c r="C15" s="38"/>
      <c r="D15" s="39"/>
      <c r="E15" s="40"/>
      <c r="F15" s="41"/>
      <c r="G15" s="42"/>
      <c r="H15" s="43"/>
      <c r="I15" s="101"/>
      <c r="J15" s="114"/>
      <c r="K15" s="109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93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</row>
    <row r="16" spans="1:66" s="17" customFormat="1" ht="18.75" x14ac:dyDescent="0.25">
      <c r="A16" s="92"/>
      <c r="B16" s="37"/>
      <c r="C16" s="38"/>
      <c r="D16" s="39"/>
      <c r="E16" s="40"/>
      <c r="F16" s="41"/>
      <c r="G16" s="42"/>
      <c r="H16" s="43"/>
      <c r="I16" s="101"/>
      <c r="J16" s="114"/>
      <c r="K16" s="109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93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</row>
    <row r="17" spans="1:66" s="17" customFormat="1" ht="18.75" x14ac:dyDescent="0.25">
      <c r="A17" s="92"/>
      <c r="B17" s="37"/>
      <c r="C17" s="38"/>
      <c r="D17" s="39"/>
      <c r="E17" s="40"/>
      <c r="F17" s="41"/>
      <c r="G17" s="42"/>
      <c r="H17" s="43"/>
      <c r="I17" s="101"/>
      <c r="J17" s="114"/>
      <c r="K17" s="109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93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</row>
    <row r="18" spans="1:66" s="22" customFormat="1" ht="19.5" thickBot="1" x14ac:dyDescent="0.3">
      <c r="A18" s="95"/>
      <c r="B18" s="46"/>
      <c r="C18" s="47"/>
      <c r="D18" s="48"/>
      <c r="E18" s="49"/>
      <c r="F18" s="50"/>
      <c r="G18" s="51"/>
      <c r="H18" s="52"/>
      <c r="I18" s="102"/>
      <c r="J18" s="115"/>
      <c r="K18" s="110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96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</row>
    <row r="19" spans="1:66" s="24" customFormat="1" ht="19.5" thickBot="1" x14ac:dyDescent="0.3">
      <c r="A19" s="63"/>
      <c r="B19" s="23" t="s">
        <v>16</v>
      </c>
      <c r="D19" s="25"/>
      <c r="E19" s="26"/>
      <c r="F19" s="26"/>
      <c r="G19" s="27"/>
      <c r="H19" s="28"/>
      <c r="I19" s="116">
        <f>SUM(I9:I18)</f>
        <v>16</v>
      </c>
      <c r="J19" s="66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8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</row>
  </sheetData>
  <mergeCells count="16">
    <mergeCell ref="AM4:AS5"/>
    <mergeCell ref="AF4:AL5"/>
    <mergeCell ref="Y4:AE5"/>
    <mergeCell ref="R4:X5"/>
    <mergeCell ref="K4:Q5"/>
    <mergeCell ref="A1:I2"/>
    <mergeCell ref="A3:I3"/>
    <mergeCell ref="AT5:AZ5"/>
    <mergeCell ref="BA5:BG5"/>
    <mergeCell ref="BH5:BN5"/>
    <mergeCell ref="K1:AS3"/>
    <mergeCell ref="AT4:AZ4"/>
    <mergeCell ref="BA4:BG4"/>
    <mergeCell ref="BH4:BN4"/>
    <mergeCell ref="C5:E5"/>
    <mergeCell ref="C4:E4"/>
  </mergeCells>
  <phoneticPr fontId="15" type="noConversion"/>
  <conditionalFormatting sqref="H8:H19">
    <cfRule type="dataBar" priority="3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{BCBC3163-31B5-4D32-850A-B122219B0D6C}</x14:id>
        </ext>
      </extLst>
    </cfRule>
  </conditionalFormatting>
  <conditionalFormatting sqref="K6:BN7">
    <cfRule type="expression" dxfId="8" priority="5">
      <formula>K$6=TODAY()</formula>
    </cfRule>
  </conditionalFormatting>
  <conditionalFormatting sqref="K6:BN8 K9:AN9 AQ9:BN9 K10:AP10 AS10:BN10 K12:BN19 K11:AQ11 AT11:BN11">
    <cfRule type="expression" dxfId="7" priority="4">
      <formula>K$6=TODAY()</formula>
    </cfRule>
  </conditionalFormatting>
  <conditionalFormatting sqref="K8:BN8 K9:AN9 AQ9:BN9 K10:AP10 AS10:BN10 K12:BN19 K11:AQ11 AT11:BN11">
    <cfRule type="expression" dxfId="6" priority="6">
      <formula>AND($E8&lt;=K$6,ROUNDDOWN(($F8-$E8+1)*$H8,0)+$E8-1&gt;=K$6)</formula>
    </cfRule>
    <cfRule type="expression" dxfId="5" priority="7">
      <formula>AND(NOT(ISBLANK($E8)),$E8&lt;=K$6,$F8&gt;=K$6)</formula>
    </cfRule>
  </conditionalFormatting>
  <conditionalFormatting sqref="AM7:AO7">
    <cfRule type="expression" dxfId="4" priority="1">
      <formula>AND($E7&lt;=AM$6,ROUNDDOWN(($F7-$E7+1)*$H7,0)+$E7-1&gt;=AM$6)</formula>
    </cfRule>
    <cfRule type="expression" dxfId="3" priority="2">
      <formula>AND(NOT(ISBLANK($E7)),$E7&lt;=AM$6,$F7&gt;=AM$6)</formula>
    </cfRule>
  </conditionalFormatting>
  <conditionalFormatting sqref="AO9 AQ10 AR11">
    <cfRule type="expression" dxfId="2" priority="9">
      <formula>AP$6=TODAY()</formula>
    </cfRule>
  </conditionalFormatting>
  <conditionalFormatting sqref="AO9 AQ10 AR11">
    <cfRule type="expression" dxfId="1" priority="12">
      <formula>AND($E9&lt;=AP$6,ROUNDDOWN(($F9-$E9+1)*$H9,0)+$E9-1&gt;=AP$6)</formula>
    </cfRule>
    <cfRule type="expression" dxfId="0" priority="13">
      <formula>AND(NOT(ISBLANK($E9)),$E9&lt;=AP$6,$F9&gt;=AP$6)</formula>
    </cfRule>
  </conditionalFormatting>
  <dataValidations count="1">
    <dataValidation allowBlank="1" showInputMessage="1" promptTitle="Display Week" prompt="Enter the week number to display first in the Gantt Chart. The weeks are numbered starting from the week containing the Project Start Date." sqref="H4" xr:uid="{2A1EE64C-F34D-48E0-90C8-3BE6BF7F3D0A}"/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BC3163-31B5-4D32-850A-B122219B0D6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H8:H19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Sayfa1!prevWBS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yalım</dc:creator>
  <cp:lastModifiedBy>burak yalım</cp:lastModifiedBy>
  <dcterms:created xsi:type="dcterms:W3CDTF">2015-06-05T18:19:34Z</dcterms:created>
  <dcterms:modified xsi:type="dcterms:W3CDTF">2026-02-11T22:04:04Z</dcterms:modified>
</cp:coreProperties>
</file>