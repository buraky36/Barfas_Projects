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hp\Desktop\Barfas\myPlans\"/>
    </mc:Choice>
  </mc:AlternateContent>
  <xr:revisionPtr revIDLastSave="0" documentId="13_ncr:1_{C9134BDB-EE22-4DF5-9C60-9572A81541EE}" xr6:coauthVersionLast="47" xr6:coauthVersionMax="47" xr10:uidLastSave="{00000000-0000-0000-0000-000000000000}"/>
  <bookViews>
    <workbookView xWindow="-120" yWindow="-120" windowWidth="29040" windowHeight="17520" xr2:uid="{00000000-000D-0000-FFFF-FFFF00000000}"/>
  </bookViews>
  <sheets>
    <sheet name="Sayfa1" sheetId="1" r:id="rId1"/>
  </sheets>
  <definedNames>
    <definedName name="prevWBS" localSheetId="0">Sayfa1!$A1048576</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1" i="1" l="1"/>
  <c r="I11" i="1" s="1"/>
  <c r="F8" i="1"/>
  <c r="I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burak yalım</author>
  </authors>
  <commentList>
    <comment ref="B7" authorId="0" shapeId="0" xr:uid="{FDD9EDE1-E4E8-4500-BD14-B94FC548038B}">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22BE1652-0CBB-48CA-BCAC-68EE76A6A661}">
      <text>
        <r>
          <rPr>
            <b/>
            <sz val="9"/>
            <color indexed="81"/>
            <rFont val="Tahoma"/>
            <family val="2"/>
          </rPr>
          <t>Task Lead</t>
        </r>
        <r>
          <rPr>
            <sz val="9"/>
            <color indexed="81"/>
            <rFont val="Tahoma"/>
            <family val="2"/>
          </rPr>
          <t xml:space="preserve">
Enter the name of the Task Lead in this column.</t>
        </r>
      </text>
    </comment>
    <comment ref="D7" authorId="0" shapeId="0" xr:uid="{45ED21A9-71FD-4B12-93B7-16E638982CCE}">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84D12271-890D-479F-B167-423E7129BCDA}">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3BB668F9-E4A3-4299-8548-0EFAF6DD3852}">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F2EBC22E-FBED-4092-AEAE-AD0787FF5A7B}">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H7" authorId="0" shapeId="0" xr:uid="{E472EB69-80C9-44D9-9C96-891C5832EE93}">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I7" authorId="0" shapeId="0" xr:uid="{DFC4601E-1200-47DC-BF82-DC0AFEF6D0E9}">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Q9" authorId="2" shapeId="0" xr:uid="{8F1EE46A-9CFF-44D4-BDE1-D0B9327ED5A1}">
      <text>
        <r>
          <rPr>
            <b/>
            <sz val="9"/>
            <color indexed="81"/>
            <rFont val="Tahoma"/>
            <family val="2"/>
            <charset val="162"/>
          </rPr>
          <t>burak yalım:</t>
        </r>
        <r>
          <rPr>
            <sz val="9"/>
            <color indexed="81"/>
            <rFont val="Tahoma"/>
            <family val="2"/>
            <charset val="162"/>
          </rPr>
          <t xml:space="preserve">
Yeni revizyon kartlarda hiç güç çıkışı alınanamasına sebep olan alt devre yerine yapılabilecek devre araştırıldı. Bu alt devre yerine  tasarımda hali hazırda bulunan TL494 entegresinin özellikleri kullanılarak çıkış gücünün ayarlanabilmesi üzerine araştırma yapıldı.</t>
        </r>
      </text>
    </comment>
    <comment ref="W10" authorId="2" shapeId="0" xr:uid="{F7819101-61CC-45D5-92E1-CEDB3805D288}">
      <text>
        <r>
          <rPr>
            <b/>
            <sz val="9"/>
            <color indexed="81"/>
            <rFont val="Tahoma"/>
            <family val="2"/>
            <charset val="162"/>
          </rPr>
          <t>burak yalım:</t>
        </r>
        <r>
          <rPr>
            <sz val="9"/>
            <color indexed="81"/>
            <rFont val="Tahoma"/>
            <family val="2"/>
            <charset val="162"/>
          </rPr>
          <t xml:space="preserve">
TL494 entegresinin PWM algılama özelliği ile statik tabanca gücü, işlemcinin DAC çıkışı ile kontrol edilebilir hale getirildi. Çıkış sinyalinin önceki halinden daha güçlü olduğu osilaskop ile tespit edildi. Güç kontrol kartında ısınan ve çok anlamlı görevi bulunmayan alüminyum kondansatörler devreden çıkartıldı. Sonuç olarak 6-8USD maliyet düşmesi ve daha güçlü ve kontrollü bir devre elde edilmiş oldu.
Aynı gün Duvar tipi kilitler için daha önce tasarlanmış donanımlar incelendi. Projenin online ve offline versiyonlarının ESP32-WROOM-32E ile geliştirilmesine karar verildi.</t>
        </r>
      </text>
    </comment>
    <comment ref="Z12" authorId="2" shapeId="0" xr:uid="{1C2BE4CD-0544-47CB-9517-B9E90DBB61B6}">
      <text>
        <r>
          <rPr>
            <b/>
            <sz val="9"/>
            <color indexed="81"/>
            <rFont val="Tahoma"/>
            <family val="2"/>
            <charset val="162"/>
          </rPr>
          <t>burak yalım:</t>
        </r>
        <r>
          <rPr>
            <sz val="9"/>
            <color indexed="81"/>
            <rFont val="Tahoma"/>
            <family val="2"/>
            <charset val="162"/>
          </rPr>
          <t xml:space="preserve">
Donanım katında kullanılacak alt modüller(QR,RFID), pinler ve donanımsal özellikleri incelendi. Proje taslağı oluşturuldu.</t>
        </r>
      </text>
    </comment>
    <comment ref="AD13" authorId="2" shapeId="0" xr:uid="{CA2123C9-7789-4A96-ACF1-4A19F18915C4}">
      <text>
        <r>
          <rPr>
            <b/>
            <sz val="9"/>
            <color indexed="81"/>
            <rFont val="Tahoma"/>
            <family val="2"/>
            <charset val="162"/>
          </rPr>
          <t>burak yalım:</t>
        </r>
        <r>
          <rPr>
            <sz val="9"/>
            <color indexed="81"/>
            <rFont val="Tahoma"/>
            <family val="2"/>
            <charset val="162"/>
          </rPr>
          <t xml:space="preserve">
Daha önce yapılmış akıllı kilit projelerinin yazılım kütüphaneleri alındı(Hasan Hüseyin). Yazılım kütüphaneleri incelendi. Projeye eklendi. Smart Access Control projesi için gerekli düzenlemelere başlandı.</t>
        </r>
      </text>
    </comment>
    <comment ref="AK14" authorId="2" shapeId="0" xr:uid="{CA4107F3-E707-4B39-AB4E-A0E3C95E7315}">
      <text>
        <r>
          <rPr>
            <b/>
            <sz val="9"/>
            <color indexed="81"/>
            <rFont val="Tahoma"/>
            <family val="2"/>
            <charset val="162"/>
          </rPr>
          <t>burak yalım:</t>
        </r>
        <r>
          <rPr>
            <sz val="9"/>
            <color indexed="81"/>
            <rFont val="Tahoma"/>
            <family val="2"/>
            <charset val="162"/>
          </rPr>
          <t xml:space="preserve">
İlgili proje ürününün HIKVision, ZKTeco gibi global markalardaki modelleri incelendi. Modellerin asgari özellikleri belirlendi.
1. Wiegand Input/Output Protocol
2. RS485-OSDP Protocol
3. Digital Input (External Buton, Door Sensor)
4. Kuru Kontak Çıkışı - 1 Form C(NO-COM-NC)
5. Operation Modes- Access Controller, Reader, Access Terminal</t>
        </r>
      </text>
    </comment>
    <comment ref="AL15" authorId="2" shapeId="0" xr:uid="{85EA326A-5D4D-4274-B04B-82EAB2D27D4C}">
      <text>
        <r>
          <rPr>
            <b/>
            <sz val="9"/>
            <color indexed="81"/>
            <rFont val="Tahoma"/>
            <family val="2"/>
            <charset val="162"/>
          </rPr>
          <t>burak yalım:</t>
        </r>
        <r>
          <rPr>
            <sz val="9"/>
            <color indexed="81"/>
            <rFont val="Tahoma"/>
            <family val="2"/>
            <charset val="162"/>
          </rPr>
          <t xml:space="preserve">
HIKVision, ZKTeco gibi global markalardaki muadil ürünlerin çalışma modları User Manual'leri üzerinden incelendi. Proje üzerinde çalışma modlarına uygun modüler bir yapı oluşturuldu.
Çalışma modları : 
1. Access Control Mode: Kapı açılmasına lokal database'i üzerinden ya da Uzak Sunucu yazılımı ile karar veren çalışma modudur.
2. Access Terminal Mode: Kapı açılmasını, daha genel bir access controller aygıta RS485-OSDP üzerinden soran ve dönen cevaba göre kapıyı açan çalışma modudur.
3. QR-RFID-PIN Reader Mode: Sadece QR,RFID ya da Touch PIN üzerinden girilen UID datasını Wiegand ya da RS485-OSDP protokolü üzerinden Access Controller aygıtına gönderen çalışma modudur.</t>
        </r>
      </text>
    </comment>
    <comment ref="AR16" authorId="2" shapeId="0" xr:uid="{7275B9B7-164C-42CD-B6CD-1C41C232E586}">
      <text>
        <r>
          <rPr>
            <b/>
            <sz val="9"/>
            <color indexed="81"/>
            <rFont val="Tahoma"/>
            <family val="2"/>
            <charset val="162"/>
          </rPr>
          <t>burak yalım:</t>
        </r>
        <r>
          <rPr>
            <sz val="9"/>
            <color indexed="81"/>
            <rFont val="Tahoma"/>
            <family val="2"/>
            <charset val="162"/>
          </rPr>
          <t xml:space="preserve">
Proje için şuana kadar araştırılmış tüm parametreler üzerine yazılım yapı tekrar düşünüldü. Projenin geliştirilmesi ve sonraki zamanlarda kolay anlaşılması adına C4-Model Yapısına uygun akış diyagramı oluşturulmaya başlandı. Proje de kullanılan alt modül kütüphanelerinin proje derlenmesindeki tüm hatalar ve uyarılar giderildi. Projenin donanım geliştirilmesi için isterler dokümanı oluşturuldu ve ilgili kişiye(Şervan) gönderildi.</t>
        </r>
      </text>
    </comment>
  </commentList>
</comments>
</file>

<file path=xl/sharedStrings.xml><?xml version="1.0" encoding="utf-8"?>
<sst xmlns="http://schemas.openxmlformats.org/spreadsheetml/2006/main" count="65" uniqueCount="29">
  <si>
    <t xml:space="preserve">Project Lead </t>
  </si>
  <si>
    <t>PREDECESSOR</t>
  </si>
  <si>
    <t>START</t>
  </si>
  <si>
    <t>END</t>
  </si>
  <si>
    <t>% DONE</t>
  </si>
  <si>
    <t>BARFAS</t>
  </si>
  <si>
    <t>Burak YALIM</t>
  </si>
  <si>
    <t xml:space="preserve">Work Start Date </t>
  </si>
  <si>
    <t>HOURS</t>
  </si>
  <si>
    <t>#</t>
  </si>
  <si>
    <t>Hardware Development</t>
  </si>
  <si>
    <t>Toz Boya</t>
  </si>
  <si>
    <t>Software Development</t>
  </si>
  <si>
    <t>Service Type - Project Name</t>
  </si>
  <si>
    <t>Total Hours</t>
  </si>
  <si>
    <t>Week-1</t>
  </si>
  <si>
    <t>Week-2</t>
  </si>
  <si>
    <t>Week-3</t>
  </si>
  <si>
    <t>Week-4</t>
  </si>
  <si>
    <t>S</t>
  </si>
  <si>
    <t>M</t>
  </si>
  <si>
    <t>T</t>
  </si>
  <si>
    <t>W</t>
  </si>
  <si>
    <t>F</t>
  </si>
  <si>
    <t>Week-5</t>
  </si>
  <si>
    <t>Smart Access Controller(Duvar)</t>
  </si>
  <si>
    <t>MINUTES</t>
  </si>
  <si>
    <t>ŞUBAT 2026</t>
  </si>
  <si>
    <t>NOT : Proje-task lerinde yapılan çalışmaların açıklamaları, sayfasında bulunan takvim-gant şemasındadır. Mavi renk ile işaretlenen çalışma günü kutularını üzerine gelindiğinde gözükecektir.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</si>
</sst>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yy\ \(dddd\)"/>
    <numFmt numFmtId="165" formatCode="d\ mmm\ yyyy"/>
    <numFmt numFmtId="166" formatCode="d"/>
    <numFmt numFmtId="167" formatCode="ddd\ m/dd/yy"/>
    <numFmt numFmtId="168" formatCode="d/m/yyyy\ \(dddd\)"/>
    <numFmt numFmtId="169" formatCode="ddd\ dd/m/yy"/>
  </numFmts>
  <fonts count="25" x14ac:knownFonts="1">
    <font>
      <sz val="11"/>
      <color theme="1"/>
      <name val="Calibri"/>
      <family val="2"/>
      <scheme val="minor"/>
    </font>
    <font>
      <sz val="11"/>
      <color theme="1"/>
      <name val="Calibri"/>
      <family val="2"/>
      <scheme val="minor"/>
    </font>
    <font>
      <sz val="10"/>
      <name val="Arial"/>
      <family val="2"/>
    </font>
    <font>
      <sz val="10"/>
      <name val="Calibri Light"/>
      <family val="2"/>
      <scheme val="major"/>
    </font>
    <font>
      <sz val="10"/>
      <name val="Calibri"/>
      <family val="2"/>
      <scheme val="minor"/>
    </font>
    <font>
      <sz val="10"/>
      <name val="Calibri Light"/>
      <family val="1"/>
      <scheme val="major"/>
    </font>
    <font>
      <sz val="11"/>
      <name val="Calibri"/>
      <family val="2"/>
      <scheme val="minor"/>
    </font>
    <font>
      <sz val="8"/>
      <name val="Arial"/>
      <family val="2"/>
    </font>
    <font>
      <b/>
      <sz val="9"/>
      <name val="Calibri Light"/>
      <family val="2"/>
      <scheme val="major"/>
    </font>
    <font>
      <b/>
      <sz val="8"/>
      <name val="Calibri Light"/>
      <family val="2"/>
      <scheme val="major"/>
    </font>
    <font>
      <sz val="9"/>
      <name val="Calibri"/>
      <family val="2"/>
      <scheme val="minor"/>
    </font>
    <font>
      <b/>
      <sz val="11"/>
      <name val="Calibri"/>
      <family val="2"/>
      <scheme val="minor"/>
    </font>
    <font>
      <sz val="14"/>
      <name val="Calibri"/>
      <family val="2"/>
      <scheme val="minor"/>
    </font>
    <font>
      <sz val="9"/>
      <color rgb="FF000000"/>
      <name val="Calibri"/>
      <family val="2"/>
      <scheme val="minor"/>
    </font>
    <font>
      <sz val="14"/>
      <color rgb="FF000000"/>
      <name val="Calibri"/>
      <family val="2"/>
      <scheme val="minor"/>
    </font>
    <font>
      <sz val="8"/>
      <name val="Calibri"/>
      <family val="2"/>
      <scheme val="minor"/>
    </font>
    <font>
      <b/>
      <sz val="9"/>
      <color indexed="81"/>
      <name val="Tahoma"/>
      <family val="2"/>
    </font>
    <font>
      <sz val="9"/>
      <color indexed="81"/>
      <name val="Tahoma"/>
      <family val="2"/>
    </font>
    <font>
      <b/>
      <i/>
      <sz val="9"/>
      <color indexed="81"/>
      <name val="Tahoma"/>
      <family val="2"/>
    </font>
    <font>
      <i/>
      <sz val="9"/>
      <color indexed="81"/>
      <name val="Tahoma"/>
      <family val="2"/>
    </font>
    <font>
      <b/>
      <sz val="12"/>
      <name val="Calibri Light"/>
      <family val="2"/>
      <charset val="162"/>
      <scheme val="major"/>
    </font>
    <font>
      <b/>
      <sz val="20"/>
      <color theme="4" tint="-0.249977111117893"/>
      <name val="Calibri Light"/>
      <family val="2"/>
      <charset val="162"/>
      <scheme val="major"/>
    </font>
    <font>
      <b/>
      <sz val="12"/>
      <name val="Calibri"/>
      <family val="2"/>
      <charset val="162"/>
      <scheme val="minor"/>
    </font>
    <font>
      <sz val="9"/>
      <color indexed="81"/>
      <name val="Tahoma"/>
      <family val="2"/>
      <charset val="162"/>
    </font>
    <font>
      <b/>
      <sz val="9"/>
      <color indexed="81"/>
      <name val="Tahoma"/>
      <family val="2"/>
      <charset val="162"/>
    </font>
  </fonts>
  <fills count="6">
    <fill>
      <patternFill patternType="none"/>
    </fill>
    <fill>
      <patternFill patternType="gray125"/>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rgb="FF0070C0"/>
        <bgColor indexed="64"/>
      </patternFill>
    </fill>
  </fills>
  <borders count="55">
    <border>
      <left/>
      <right/>
      <top/>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
      <left/>
      <right/>
      <top style="thin">
        <color indexed="22"/>
      </top>
      <bottom style="thin">
        <color indexed="22"/>
      </bottom>
      <diagonal/>
    </border>
    <border>
      <left/>
      <right style="thin">
        <color theme="0" tint="-0.24994659260841701"/>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24994659260841701"/>
      </right>
      <top/>
      <bottom style="medium">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22"/>
      </top>
      <bottom style="thin">
        <color indexed="22"/>
      </bottom>
      <diagonal/>
    </border>
    <border>
      <left style="medium">
        <color indexed="64"/>
      </left>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1">
    <xf numFmtId="0" fontId="0" fillId="0" borderId="0" xfId="0"/>
    <xf numFmtId="0" fontId="2" fillId="0" borderId="0" xfId="0" applyFont="1"/>
    <xf numFmtId="166" fontId="7" fillId="0" borderId="1" xfId="0" applyNumberFormat="1" applyFont="1" applyBorder="1" applyAlignment="1">
      <alignment horizontal="center" vertical="center" shrinkToFit="1"/>
    </xf>
    <xf numFmtId="166" fontId="7" fillId="0" borderId="2" xfId="0" applyNumberFormat="1" applyFont="1" applyBorder="1" applyAlignment="1">
      <alignment horizontal="center" vertical="center" shrinkToFit="1"/>
    </xf>
    <xf numFmtId="166" fontId="7" fillId="0" borderId="3" xfId="0" applyNumberFormat="1" applyFont="1" applyBorder="1" applyAlignment="1">
      <alignment horizontal="center" vertical="center" shrinkToFit="1"/>
    </xf>
    <xf numFmtId="0" fontId="10" fillId="0" borderId="4" xfId="0" applyFont="1" applyBorder="1" applyAlignment="1">
      <alignment horizontal="center" vertical="center" shrinkToFit="1"/>
    </xf>
    <xf numFmtId="0" fontId="10" fillId="0" borderId="5" xfId="0" applyFont="1" applyBorder="1" applyAlignment="1">
      <alignment horizontal="center" vertical="center" shrinkToFit="1"/>
    </xf>
    <xf numFmtId="0" fontId="10" fillId="0" borderId="6" xfId="0" applyFont="1" applyBorder="1" applyAlignment="1">
      <alignment horizontal="center" vertical="center" shrinkToFit="1"/>
    </xf>
    <xf numFmtId="0" fontId="10" fillId="2" borderId="7" xfId="0" applyFont="1" applyFill="1" applyBorder="1" applyAlignment="1">
      <alignment horizontal="left" vertical="center"/>
    </xf>
    <xf numFmtId="0" fontId="10" fillId="2" borderId="8" xfId="0" applyFont="1" applyFill="1" applyBorder="1" applyAlignment="1">
      <alignment vertical="center"/>
    </xf>
    <xf numFmtId="0" fontId="10" fillId="0" borderId="8" xfId="0" applyFont="1" applyBorder="1" applyAlignment="1">
      <alignment horizontal="left" vertical="center"/>
    </xf>
    <xf numFmtId="0" fontId="10" fillId="0" borderId="8" xfId="0" applyFont="1" applyBorder="1" applyAlignment="1">
      <alignment vertical="center"/>
    </xf>
    <xf numFmtId="0" fontId="10" fillId="2" borderId="8" xfId="0" applyFont="1" applyFill="1" applyBorder="1" applyAlignment="1">
      <alignment horizontal="left" vertical="center"/>
    </xf>
    <xf numFmtId="0" fontId="10" fillId="0" borderId="11" xfId="0" applyFont="1" applyBorder="1" applyAlignment="1">
      <alignment vertical="center"/>
    </xf>
    <xf numFmtId="0" fontId="11" fillId="2" borderId="13" xfId="0" applyFont="1" applyFill="1" applyBorder="1" applyAlignment="1">
      <alignment vertical="center"/>
    </xf>
    <xf numFmtId="0" fontId="10" fillId="2" borderId="14" xfId="0" applyFont="1" applyFill="1" applyBorder="1" applyAlignment="1">
      <alignment vertical="center"/>
    </xf>
    <xf numFmtId="0" fontId="10" fillId="2" borderId="14" xfId="0" applyFont="1" applyFill="1" applyBorder="1" applyAlignment="1">
      <alignment horizontal="center" vertical="center"/>
    </xf>
    <xf numFmtId="167" fontId="10" fillId="2" borderId="14" xfId="0" applyNumberFormat="1" applyFont="1" applyFill="1" applyBorder="1" applyAlignment="1">
      <alignment horizontal="center" vertical="center"/>
    </xf>
    <xf numFmtId="1" fontId="10" fillId="2" borderId="14" xfId="1" applyNumberFormat="1" applyFont="1" applyFill="1" applyBorder="1" applyAlignment="1" applyProtection="1">
      <alignment horizontal="center" vertical="center"/>
    </xf>
    <xf numFmtId="166" fontId="7" fillId="0" borderId="9" xfId="0" applyNumberFormat="1" applyFont="1" applyBorder="1" applyAlignment="1">
      <alignment horizontal="center" vertical="center" shrinkToFit="1"/>
    </xf>
    <xf numFmtId="0" fontId="10" fillId="0" borderId="16" xfId="0" applyFont="1" applyBorder="1" applyAlignment="1">
      <alignment horizontal="center" vertical="center" shrinkToFit="1"/>
    </xf>
    <xf numFmtId="0" fontId="3" fillId="0" borderId="10" xfId="0" applyFont="1" applyBorder="1"/>
    <xf numFmtId="0" fontId="3" fillId="0" borderId="10" xfId="0" applyFont="1" applyBorder="1" applyAlignment="1">
      <alignment horizontal="right" vertical="center"/>
    </xf>
    <xf numFmtId="0" fontId="5" fillId="0" borderId="10" xfId="0" applyFont="1" applyBorder="1"/>
    <xf numFmtId="166" fontId="7" fillId="0" borderId="10" xfId="0" applyNumberFormat="1" applyFont="1" applyBorder="1" applyAlignment="1">
      <alignment horizontal="center" vertical="center" shrinkToFit="1"/>
    </xf>
    <xf numFmtId="0" fontId="10" fillId="0" borderId="10" xfId="0" applyFont="1" applyBorder="1" applyAlignment="1">
      <alignment horizontal="left" vertical="center"/>
    </xf>
    <xf numFmtId="0" fontId="13" fillId="0" borderId="10" xfId="0" applyFont="1" applyBorder="1" applyAlignment="1">
      <alignment horizontal="center" vertical="center"/>
    </xf>
    <xf numFmtId="0" fontId="10" fillId="0" borderId="10" xfId="0" applyFont="1" applyFill="1" applyBorder="1" applyAlignment="1">
      <alignment horizontal="left" vertical="center"/>
    </xf>
    <xf numFmtId="0" fontId="13" fillId="0" borderId="19" xfId="0" applyFont="1" applyBorder="1" applyAlignment="1">
      <alignment horizontal="center" vertical="center"/>
    </xf>
    <xf numFmtId="0" fontId="10" fillId="0" borderId="20" xfId="0" applyFont="1" applyBorder="1" applyAlignment="1">
      <alignment horizontal="left" vertical="center"/>
    </xf>
    <xf numFmtId="0" fontId="13" fillId="0" borderId="20" xfId="0" applyFont="1" applyBorder="1" applyAlignment="1">
      <alignment horizontal="center" vertical="center"/>
    </xf>
    <xf numFmtId="0" fontId="11" fillId="2" borderId="13" xfId="0" applyFont="1" applyFill="1" applyBorder="1" applyAlignment="1">
      <alignment horizontal="left" vertical="center"/>
    </xf>
    <xf numFmtId="1" fontId="12" fillId="2" borderId="14" xfId="0" applyNumberFormat="1" applyFont="1" applyFill="1" applyBorder="1" applyAlignment="1">
      <alignment horizontal="center" vertical="center"/>
    </xf>
    <xf numFmtId="0" fontId="10" fillId="2" borderId="14" xfId="0" applyFont="1" applyFill="1" applyBorder="1" applyAlignment="1">
      <alignment horizontal="left" vertical="center"/>
    </xf>
    <xf numFmtId="0" fontId="10" fillId="2" borderId="15" xfId="0" applyFont="1" applyFill="1" applyBorder="1" applyAlignment="1">
      <alignment horizontal="left" vertical="center"/>
    </xf>
    <xf numFmtId="0" fontId="9" fillId="0" borderId="19" xfId="0" applyFont="1" applyBorder="1" applyAlignment="1">
      <alignment horizontal="center" vertical="center" wrapText="1"/>
    </xf>
    <xf numFmtId="0" fontId="8" fillId="0" borderId="19" xfId="0" applyFont="1" applyBorder="1" applyAlignment="1">
      <alignment horizontal="center" vertical="center"/>
    </xf>
    <xf numFmtId="0" fontId="10" fillId="0" borderId="19" xfId="0" applyFont="1" applyBorder="1" applyAlignment="1">
      <alignment horizontal="center" vertical="center" shrinkToFit="1"/>
    </xf>
    <xf numFmtId="0" fontId="10" fillId="0" borderId="20" xfId="0" applyFont="1" applyFill="1" applyBorder="1" applyAlignment="1">
      <alignment horizontal="left" vertical="center"/>
    </xf>
    <xf numFmtId="167" fontId="10" fillId="2" borderId="14" xfId="0" applyNumberFormat="1" applyFont="1" applyFill="1" applyBorder="1" applyAlignment="1">
      <alignment horizontal="right" vertical="center"/>
    </xf>
    <xf numFmtId="0" fontId="3" fillId="0" borderId="28" xfId="0" applyFont="1" applyBorder="1"/>
    <xf numFmtId="0" fontId="5" fillId="0" borderId="28" xfId="0" applyFont="1" applyBorder="1"/>
    <xf numFmtId="166" fontId="7" fillId="0" borderId="31" xfId="0" applyNumberFormat="1" applyFont="1" applyBorder="1" applyAlignment="1">
      <alignment horizontal="center" vertical="center" shrinkToFit="1"/>
    </xf>
    <xf numFmtId="0" fontId="10" fillId="0" borderId="34" xfId="0" applyFont="1" applyBorder="1" applyAlignment="1">
      <alignment horizontal="left" vertical="center"/>
    </xf>
    <xf numFmtId="0" fontId="10" fillId="0" borderId="35" xfId="0" applyFont="1" applyBorder="1" applyAlignment="1">
      <alignment horizontal="left" vertical="center"/>
    </xf>
    <xf numFmtId="0" fontId="10" fillId="0" borderId="28" xfId="0" applyFont="1" applyBorder="1" applyAlignment="1">
      <alignment horizontal="left" vertical="center"/>
    </xf>
    <xf numFmtId="0" fontId="10" fillId="0" borderId="31" xfId="0" applyFont="1" applyBorder="1" applyAlignment="1">
      <alignment horizontal="left" vertical="center"/>
    </xf>
    <xf numFmtId="0" fontId="3" fillId="0" borderId="17" xfId="0" applyFont="1" applyBorder="1"/>
    <xf numFmtId="0" fontId="8" fillId="0" borderId="21" xfId="0" applyFont="1" applyBorder="1" applyAlignment="1">
      <alignment horizontal="center" vertical="center" wrapText="1"/>
    </xf>
    <xf numFmtId="0" fontId="10" fillId="0" borderId="11" xfId="0" applyFont="1" applyBorder="1" applyAlignment="1">
      <alignment horizontal="left" vertical="center"/>
    </xf>
    <xf numFmtId="0" fontId="5" fillId="2" borderId="40" xfId="0" applyFont="1" applyFill="1" applyBorder="1"/>
    <xf numFmtId="1" fontId="22" fillId="2" borderId="12" xfId="0" applyNumberFormat="1" applyFont="1" applyFill="1" applyBorder="1" applyAlignment="1">
      <alignment horizontal="center" vertical="center"/>
    </xf>
    <xf numFmtId="0" fontId="3" fillId="0" borderId="34" xfId="0" applyFont="1" applyBorder="1"/>
    <xf numFmtId="0" fontId="3" fillId="0" borderId="20" xfId="0" applyFont="1" applyBorder="1" applyAlignment="1">
      <alignment horizontal="right" vertical="center"/>
    </xf>
    <xf numFmtId="0" fontId="3" fillId="0" borderId="20" xfId="0" applyFont="1" applyBorder="1"/>
    <xf numFmtId="0" fontId="4" fillId="0" borderId="20" xfId="0" applyFont="1" applyBorder="1" applyAlignment="1" applyProtection="1">
      <alignment horizontal="center" vertical="center"/>
      <protection locked="0"/>
    </xf>
    <xf numFmtId="0" fontId="2" fillId="0" borderId="23" xfId="0" applyFont="1" applyBorder="1"/>
    <xf numFmtId="0" fontId="6" fillId="0" borderId="24" xfId="0" applyFont="1" applyBorder="1" applyAlignment="1">
      <alignment horizontal="center" vertical="center"/>
    </xf>
    <xf numFmtId="0" fontId="6" fillId="0" borderId="30" xfId="0" applyFont="1" applyBorder="1" applyAlignment="1">
      <alignment horizontal="center" vertical="center"/>
    </xf>
    <xf numFmtId="0" fontId="21" fillId="0" borderId="42" xfId="0" applyFont="1" applyBorder="1" applyAlignment="1" applyProtection="1">
      <alignment horizontal="center" vertical="center" wrapText="1"/>
      <protection locked="0"/>
    </xf>
    <xf numFmtId="0" fontId="21" fillId="0" borderId="26" xfId="0" applyFont="1" applyBorder="1" applyAlignment="1" applyProtection="1">
      <alignment horizontal="center" vertical="center" wrapText="1"/>
      <protection locked="0"/>
    </xf>
    <xf numFmtId="0" fontId="21" fillId="0" borderId="27" xfId="0" applyFont="1" applyBorder="1" applyAlignment="1" applyProtection="1">
      <alignment horizontal="center" vertical="center" wrapText="1"/>
      <protection locked="0"/>
    </xf>
    <xf numFmtId="0" fontId="21" fillId="0" borderId="36" xfId="0" applyFont="1" applyBorder="1" applyAlignment="1" applyProtection="1">
      <alignment horizontal="center" vertical="center" wrapText="1"/>
      <protection locked="0"/>
    </xf>
    <xf numFmtId="0" fontId="21" fillId="0" borderId="37" xfId="0" applyFont="1" applyBorder="1" applyAlignment="1" applyProtection="1">
      <alignment horizontal="center" vertical="center" wrapText="1"/>
      <protection locked="0"/>
    </xf>
    <xf numFmtId="0" fontId="21" fillId="0" borderId="38" xfId="0" applyFont="1" applyBorder="1" applyAlignment="1" applyProtection="1">
      <alignment horizontal="center" vertical="center" wrapText="1"/>
      <protection locked="0"/>
    </xf>
    <xf numFmtId="0" fontId="20" fillId="0" borderId="13" xfId="0" applyFont="1" applyBorder="1" applyAlignment="1" applyProtection="1">
      <alignment horizontal="center" vertical="center"/>
      <protection locked="0"/>
    </xf>
    <xf numFmtId="0" fontId="20" fillId="0" borderId="14" xfId="0" applyFont="1" applyBorder="1" applyAlignment="1" applyProtection="1">
      <alignment horizontal="center" vertical="center"/>
      <protection locked="0"/>
    </xf>
    <xf numFmtId="0" fontId="20" fillId="0" borderId="15" xfId="0" applyFont="1" applyBorder="1" applyAlignment="1" applyProtection="1">
      <alignment horizontal="center" vertical="center"/>
      <protection locked="0"/>
    </xf>
    <xf numFmtId="165" fontId="4" fillId="0" borderId="9" xfId="0" applyNumberFormat="1" applyFont="1" applyBorder="1" applyAlignment="1">
      <alignment horizontal="center" vertical="center"/>
    </xf>
    <xf numFmtId="165" fontId="4" fillId="0" borderId="2" xfId="0" applyNumberFormat="1" applyFont="1" applyBorder="1" applyAlignment="1">
      <alignment horizontal="center" vertical="center"/>
    </xf>
    <xf numFmtId="165" fontId="4" fillId="0" borderId="3" xfId="0" applyNumberFormat="1" applyFont="1" applyBorder="1" applyAlignment="1">
      <alignment horizontal="center" vertical="center"/>
    </xf>
    <xf numFmtId="165" fontId="4" fillId="0" borderId="1" xfId="0" applyNumberFormat="1" applyFont="1" applyBorder="1" applyAlignment="1">
      <alignment horizontal="center" vertical="center"/>
    </xf>
    <xf numFmtId="49" fontId="21" fillId="0" borderId="42" xfId="0" applyNumberFormat="1" applyFont="1" applyBorder="1" applyAlignment="1" applyProtection="1">
      <alignment horizontal="center" vertical="center" wrapText="1"/>
      <protection locked="0"/>
    </xf>
    <xf numFmtId="49" fontId="21" fillId="0" borderId="26" xfId="0" applyNumberFormat="1" applyFont="1" applyBorder="1" applyAlignment="1" applyProtection="1">
      <alignment horizontal="center" vertical="center" wrapText="1"/>
      <protection locked="0"/>
    </xf>
    <xf numFmtId="49" fontId="21" fillId="0" borderId="27" xfId="0" applyNumberFormat="1" applyFont="1" applyBorder="1" applyAlignment="1" applyProtection="1">
      <alignment horizontal="center" vertical="center" wrapText="1"/>
      <protection locked="0"/>
    </xf>
    <xf numFmtId="49" fontId="21" fillId="0" borderId="43" xfId="0" applyNumberFormat="1" applyFont="1" applyBorder="1" applyAlignment="1" applyProtection="1">
      <alignment horizontal="center" vertical="center" wrapText="1"/>
      <protection locked="0"/>
    </xf>
    <xf numFmtId="49" fontId="21" fillId="0" borderId="0" xfId="0" applyNumberFormat="1" applyFont="1" applyBorder="1" applyAlignment="1" applyProtection="1">
      <alignment horizontal="center" vertical="center" wrapText="1"/>
      <protection locked="0"/>
    </xf>
    <xf numFmtId="49" fontId="21" fillId="0" borderId="29" xfId="0" applyNumberFormat="1" applyFont="1" applyBorder="1" applyAlignment="1" applyProtection="1">
      <alignment horizontal="center" vertical="center" wrapText="1"/>
      <protection locked="0"/>
    </xf>
    <xf numFmtId="49" fontId="21" fillId="0" borderId="36" xfId="0" applyNumberFormat="1" applyFont="1" applyBorder="1" applyAlignment="1" applyProtection="1">
      <alignment horizontal="center" vertical="center" wrapText="1"/>
      <protection locked="0"/>
    </xf>
    <xf numFmtId="49" fontId="21" fillId="0" borderId="37" xfId="0" applyNumberFormat="1" applyFont="1" applyBorder="1" applyAlignment="1" applyProtection="1">
      <alignment horizontal="center" vertical="center" wrapText="1"/>
      <protection locked="0"/>
    </xf>
    <xf numFmtId="49" fontId="21" fillId="0" borderId="38" xfId="0" applyNumberFormat="1" applyFont="1" applyBorder="1" applyAlignment="1" applyProtection="1">
      <alignment horizontal="center" vertical="center" wrapText="1"/>
      <protection locked="0"/>
    </xf>
    <xf numFmtId="0" fontId="6" fillId="0" borderId="9"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1" xfId="0" applyFont="1" applyBorder="1" applyAlignment="1">
      <alignment horizontal="center" vertical="center"/>
    </xf>
    <xf numFmtId="164" fontId="4" fillId="0" borderId="10" xfId="0" applyNumberFormat="1" applyFont="1" applyBorder="1" applyAlignment="1" applyProtection="1">
      <alignment horizontal="center" vertical="center" shrinkToFit="1"/>
      <protection locked="0"/>
    </xf>
    <xf numFmtId="168" fontId="4" fillId="0" borderId="20" xfId="0" applyNumberFormat="1" applyFont="1" applyBorder="1" applyAlignment="1" applyProtection="1">
      <alignment horizontal="center" vertical="center" shrinkToFit="1"/>
      <protection locked="0"/>
    </xf>
    <xf numFmtId="169" fontId="13" fillId="3" borderId="20" xfId="0" applyNumberFormat="1" applyFont="1" applyFill="1" applyBorder="1" applyAlignment="1">
      <alignment horizontal="center" vertical="center"/>
    </xf>
    <xf numFmtId="169" fontId="13" fillId="0" borderId="20" xfId="0" applyNumberFormat="1" applyFont="1" applyBorder="1" applyAlignment="1">
      <alignment horizontal="center" vertical="center"/>
    </xf>
    <xf numFmtId="169" fontId="13" fillId="3" borderId="10" xfId="0" applyNumberFormat="1" applyFont="1" applyFill="1" applyBorder="1" applyAlignment="1">
      <alignment horizontal="center" vertical="center"/>
    </xf>
    <xf numFmtId="169" fontId="13" fillId="0" borderId="10" xfId="0" applyNumberFormat="1" applyFont="1" applyBorder="1" applyAlignment="1">
      <alignment horizontal="center" vertical="center"/>
    </xf>
    <xf numFmtId="169" fontId="13" fillId="0" borderId="19" xfId="0" applyNumberFormat="1" applyFont="1" applyBorder="1" applyAlignment="1">
      <alignment horizontal="center" vertical="center"/>
    </xf>
    <xf numFmtId="0" fontId="5" fillId="2" borderId="43" xfId="0" applyFont="1" applyFill="1" applyBorder="1"/>
    <xf numFmtId="0" fontId="6" fillId="0" borderId="42"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44" xfId="0" applyFont="1" applyBorder="1" applyAlignment="1">
      <alignment horizontal="center" vertical="center"/>
    </xf>
    <xf numFmtId="166" fontId="7" fillId="0" borderId="28" xfId="0" applyNumberFormat="1" applyFont="1" applyBorder="1" applyAlignment="1">
      <alignment horizontal="center" vertical="center" shrinkToFit="1"/>
    </xf>
    <xf numFmtId="0" fontId="10" fillId="0" borderId="32" xfId="0" applyFont="1" applyBorder="1" applyAlignment="1">
      <alignment horizontal="center" vertical="center" shrinkToFit="1"/>
    </xf>
    <xf numFmtId="0" fontId="10" fillId="0" borderId="33" xfId="0" applyFont="1" applyBorder="1" applyAlignment="1">
      <alignment horizontal="center" vertical="center" shrinkToFit="1"/>
    </xf>
    <xf numFmtId="0" fontId="10" fillId="2" borderId="13" xfId="0" applyFont="1" applyFill="1" applyBorder="1" applyAlignment="1">
      <alignment horizontal="left" vertical="center"/>
    </xf>
    <xf numFmtId="0" fontId="10" fillId="0" borderId="34" xfId="0" applyFont="1" applyFill="1" applyBorder="1" applyAlignment="1">
      <alignment horizontal="left" vertical="center"/>
    </xf>
    <xf numFmtId="0" fontId="10" fillId="5" borderId="35" xfId="0" applyFont="1" applyFill="1" applyBorder="1" applyAlignment="1">
      <alignment horizontal="left" vertical="center"/>
    </xf>
    <xf numFmtId="0" fontId="10" fillId="0" borderId="28" xfId="0" applyFont="1" applyFill="1" applyBorder="1" applyAlignment="1">
      <alignment horizontal="left" vertical="center"/>
    </xf>
    <xf numFmtId="0" fontId="10" fillId="0" borderId="31" xfId="0" applyFont="1" applyFill="1" applyBorder="1" applyAlignment="1">
      <alignment horizontal="left" vertical="center"/>
    </xf>
    <xf numFmtId="0" fontId="10" fillId="0" borderId="45" xfId="0" applyFont="1" applyBorder="1" applyAlignment="1">
      <alignment horizontal="left" vertical="center"/>
    </xf>
    <xf numFmtId="0" fontId="10" fillId="0" borderId="46" xfId="0" applyFont="1" applyBorder="1" applyAlignment="1">
      <alignment horizontal="left" vertical="center"/>
    </xf>
    <xf numFmtId="0" fontId="10" fillId="0" borderId="47" xfId="0" applyFont="1" applyBorder="1" applyAlignment="1">
      <alignment horizontal="left" vertical="center"/>
    </xf>
    <xf numFmtId="0" fontId="10" fillId="0" borderId="35" xfId="0" applyFont="1" applyFill="1" applyBorder="1" applyAlignment="1">
      <alignment horizontal="left" vertical="center"/>
    </xf>
    <xf numFmtId="9" fontId="13" fillId="4" borderId="23" xfId="1" applyFont="1" applyFill="1" applyBorder="1" applyAlignment="1" applyProtection="1">
      <alignment horizontal="center" vertical="center"/>
    </xf>
    <xf numFmtId="9" fontId="13" fillId="4" borderId="17" xfId="1" applyFont="1" applyFill="1" applyBorder="1" applyAlignment="1" applyProtection="1">
      <alignment horizontal="center" vertical="center"/>
    </xf>
    <xf numFmtId="0" fontId="5" fillId="0" borderId="19" xfId="0" applyFont="1" applyBorder="1"/>
    <xf numFmtId="0" fontId="8" fillId="0" borderId="48" xfId="0" applyFont="1" applyBorder="1" applyAlignment="1">
      <alignment horizontal="center" vertical="center" wrapText="1"/>
    </xf>
    <xf numFmtId="9" fontId="10" fillId="2" borderId="40" xfId="1" applyFont="1" applyFill="1" applyBorder="1" applyAlignment="1" applyProtection="1">
      <alignment horizontal="center" vertical="center"/>
    </xf>
    <xf numFmtId="1" fontId="13" fillId="0" borderId="49" xfId="0" applyNumberFormat="1" applyFont="1" applyBorder="1" applyAlignment="1">
      <alignment horizontal="center" vertical="center"/>
    </xf>
    <xf numFmtId="9" fontId="10" fillId="2" borderId="41" xfId="1" applyFont="1" applyFill="1" applyBorder="1" applyAlignment="1" applyProtection="1">
      <alignment horizontal="center" vertical="center"/>
    </xf>
    <xf numFmtId="1" fontId="13" fillId="0" borderId="50" xfId="0" applyNumberFormat="1" applyFont="1" applyBorder="1" applyAlignment="1">
      <alignment horizontal="center" vertical="center"/>
    </xf>
    <xf numFmtId="1" fontId="13" fillId="0" borderId="51" xfId="0" applyNumberFormat="1" applyFont="1" applyBorder="1" applyAlignment="1">
      <alignment horizontal="center" vertical="center"/>
    </xf>
    <xf numFmtId="0" fontId="8" fillId="2" borderId="37" xfId="0" applyFont="1" applyFill="1" applyBorder="1" applyAlignment="1">
      <alignment horizontal="center" vertical="center" wrapText="1"/>
    </xf>
    <xf numFmtId="1" fontId="14" fillId="2" borderId="26" xfId="0" applyNumberFormat="1" applyFont="1" applyFill="1" applyBorder="1" applyAlignment="1">
      <alignment horizontal="center" vertical="center"/>
    </xf>
    <xf numFmtId="1" fontId="14" fillId="2" borderId="0" xfId="0" applyNumberFormat="1" applyFont="1" applyFill="1" applyBorder="1" applyAlignment="1">
      <alignment horizontal="center" vertical="center"/>
    </xf>
    <xf numFmtId="1" fontId="14" fillId="2" borderId="37" xfId="0" applyNumberFormat="1" applyFont="1" applyFill="1" applyBorder="1" applyAlignment="1">
      <alignment horizontal="center" vertical="center"/>
    </xf>
    <xf numFmtId="0" fontId="5" fillId="0" borderId="21" xfId="0" applyFont="1" applyBorder="1"/>
    <xf numFmtId="1" fontId="10" fillId="2" borderId="12" xfId="0" applyNumberFormat="1" applyFont="1" applyFill="1" applyBorder="1" applyAlignment="1">
      <alignment horizontal="center" vertical="center"/>
    </xf>
    <xf numFmtId="1" fontId="10" fillId="0" borderId="52" xfId="0" applyNumberFormat="1" applyFont="1" applyBorder="1" applyAlignment="1">
      <alignment horizontal="center" vertical="center"/>
    </xf>
    <xf numFmtId="0" fontId="8" fillId="0" borderId="53" xfId="0" applyFont="1" applyBorder="1" applyAlignment="1">
      <alignment horizontal="left" vertical="center"/>
    </xf>
    <xf numFmtId="0" fontId="8" fillId="0" borderId="22" xfId="0" applyFont="1" applyBorder="1" applyAlignment="1">
      <alignment horizontal="center" vertical="center" wrapText="1"/>
    </xf>
    <xf numFmtId="0" fontId="10" fillId="0" borderId="25" xfId="0" applyFont="1" applyBorder="1" applyAlignment="1">
      <alignment vertical="center"/>
    </xf>
    <xf numFmtId="0" fontId="10" fillId="0" borderId="18" xfId="0" applyFont="1" applyBorder="1" applyAlignment="1">
      <alignment vertical="center"/>
    </xf>
    <xf numFmtId="0" fontId="10" fillId="0" borderId="22" xfId="0" applyFont="1" applyBorder="1" applyAlignment="1">
      <alignment vertical="center"/>
    </xf>
    <xf numFmtId="0" fontId="8" fillId="0" borderId="39" xfId="0" applyFont="1" applyBorder="1" applyAlignment="1">
      <alignment horizontal="left" vertical="center"/>
    </xf>
    <xf numFmtId="0" fontId="11" fillId="2" borderId="12" xfId="0" applyFont="1" applyFill="1" applyBorder="1" applyAlignment="1">
      <alignment vertical="center"/>
    </xf>
    <xf numFmtId="0" fontId="10" fillId="0" borderId="50" xfId="0" applyFont="1" applyBorder="1" applyAlignment="1">
      <alignment vertical="center" wrapText="1"/>
    </xf>
    <xf numFmtId="0" fontId="10" fillId="0" borderId="49" xfId="0" applyFont="1" applyBorder="1" applyAlignment="1">
      <alignment vertical="center" wrapText="1"/>
    </xf>
    <xf numFmtId="0" fontId="10" fillId="0" borderId="41" xfId="0" applyFont="1" applyBorder="1" applyAlignment="1">
      <alignment vertical="center" wrapText="1"/>
    </xf>
    <xf numFmtId="0" fontId="0" fillId="0" borderId="26" xfId="0" applyBorder="1" applyAlignment="1">
      <alignment horizontal="center" vertical="center" wrapText="1"/>
    </xf>
    <xf numFmtId="0" fontId="0" fillId="0" borderId="0" xfId="0" applyAlignment="1">
      <alignment horizontal="center" vertical="center" wrapText="1"/>
    </xf>
    <xf numFmtId="0" fontId="11" fillId="2" borderId="13" xfId="0" applyFont="1" applyFill="1" applyBorder="1" applyAlignment="1">
      <alignment horizontal="center" vertical="center"/>
    </xf>
    <xf numFmtId="0" fontId="10" fillId="0" borderId="44" xfId="0" applyFont="1" applyBorder="1" applyAlignment="1">
      <alignment horizontal="center" vertical="center"/>
    </xf>
    <xf numFmtId="0" fontId="10" fillId="0" borderId="54" xfId="0" applyFont="1" applyBorder="1" applyAlignment="1">
      <alignment horizontal="center" vertical="center"/>
    </xf>
    <xf numFmtId="0" fontId="10" fillId="0" borderId="53" xfId="0" applyFont="1" applyBorder="1" applyAlignment="1">
      <alignment horizontal="center" vertical="center"/>
    </xf>
  </cellXfs>
  <cellStyles count="2">
    <cellStyle name="Normal" xfId="0" builtinId="0"/>
    <cellStyle name="Yüzde" xfId="1" builtinId="5"/>
  </cellStyles>
  <dxfs count="21">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19"/>
  <sheetViews>
    <sheetView tabSelected="1" workbookViewId="0">
      <selection activeCell="U14" sqref="U14"/>
    </sheetView>
  </sheetViews>
  <sheetFormatPr defaultColWidth="0" defaultRowHeight="15" zeroHeight="1" x14ac:dyDescent="0.25"/>
  <cols>
    <col min="1" max="1" width="6.85546875" customWidth="1"/>
    <col min="2" max="2" width="25.140625" bestFit="1" customWidth="1"/>
    <col min="3" max="3" width="7.7109375" customWidth="1"/>
    <col min="4" max="4" width="6.85546875" hidden="1" customWidth="1"/>
    <col min="5" max="6" width="12" customWidth="1"/>
    <col min="7" max="7" width="11.42578125" bestFit="1" customWidth="1"/>
    <col min="8" max="8" width="6.7109375" customWidth="1"/>
    <col min="9" max="9" width="8.5703125" bestFit="1" customWidth="1"/>
    <col min="10" max="10" width="1.85546875" customWidth="1"/>
    <col min="11" max="38" width="3.28515625" customWidth="1"/>
    <col min="39" max="39" width="4.42578125" customWidth="1"/>
    <col min="40" max="45" width="3.28515625" customWidth="1"/>
    <col min="46" max="67" width="9" hidden="1" customWidth="1"/>
    <col min="68" max="16384" width="9.140625" hidden="1"/>
  </cols>
  <sheetData>
    <row r="1" spans="1:66" ht="26.25" customHeight="1" x14ac:dyDescent="0.25">
      <c r="A1" s="59" t="s">
        <v>5</v>
      </c>
      <c r="B1" s="60"/>
      <c r="C1" s="60"/>
      <c r="D1" s="60"/>
      <c r="E1" s="60"/>
      <c r="F1" s="60"/>
      <c r="G1" s="60"/>
      <c r="H1" s="60"/>
      <c r="I1" s="61"/>
      <c r="J1" s="50"/>
      <c r="K1" s="72" t="s">
        <v>27</v>
      </c>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4"/>
    </row>
    <row r="2" spans="1:66" ht="15.75" customHeight="1" thickBot="1" x14ac:dyDescent="0.3">
      <c r="A2" s="62"/>
      <c r="B2" s="63"/>
      <c r="C2" s="63"/>
      <c r="D2" s="63"/>
      <c r="E2" s="63"/>
      <c r="F2" s="63"/>
      <c r="G2" s="63"/>
      <c r="H2" s="63"/>
      <c r="I2" s="64"/>
      <c r="J2" s="50"/>
      <c r="K2" s="75"/>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7"/>
    </row>
    <row r="3" spans="1:66" ht="15.75" customHeight="1" thickBot="1" x14ac:dyDescent="0.3">
      <c r="A3" s="65" t="s">
        <v>6</v>
      </c>
      <c r="B3" s="66"/>
      <c r="C3" s="66"/>
      <c r="D3" s="66"/>
      <c r="E3" s="66"/>
      <c r="F3" s="66"/>
      <c r="G3" s="66"/>
      <c r="H3" s="66"/>
      <c r="I3" s="67"/>
      <c r="J3" s="50"/>
      <c r="K3" s="78"/>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c r="AS3" s="80"/>
    </row>
    <row r="4" spans="1:66" x14ac:dyDescent="0.25">
      <c r="A4" s="52"/>
      <c r="B4" s="53" t="s">
        <v>7</v>
      </c>
      <c r="C4" s="86">
        <v>46054</v>
      </c>
      <c r="D4" s="86"/>
      <c r="E4" s="86"/>
      <c r="F4" s="54"/>
      <c r="G4" s="53"/>
      <c r="H4" s="55"/>
      <c r="I4" s="56"/>
      <c r="J4" s="92"/>
      <c r="K4" s="93" t="s">
        <v>15</v>
      </c>
      <c r="L4" s="94"/>
      <c r="M4" s="94"/>
      <c r="N4" s="94"/>
      <c r="O4" s="94"/>
      <c r="P4" s="94"/>
      <c r="Q4" s="95"/>
      <c r="R4" s="93" t="s">
        <v>16</v>
      </c>
      <c r="S4" s="94"/>
      <c r="T4" s="94"/>
      <c r="U4" s="94"/>
      <c r="V4" s="94"/>
      <c r="W4" s="94"/>
      <c r="X4" s="95"/>
      <c r="Y4" s="93" t="s">
        <v>17</v>
      </c>
      <c r="Z4" s="94"/>
      <c r="AA4" s="94"/>
      <c r="AB4" s="94"/>
      <c r="AC4" s="94"/>
      <c r="AD4" s="94"/>
      <c r="AE4" s="95"/>
      <c r="AF4" s="93" t="s">
        <v>18</v>
      </c>
      <c r="AG4" s="94"/>
      <c r="AH4" s="94"/>
      <c r="AI4" s="94"/>
      <c r="AJ4" s="94"/>
      <c r="AK4" s="94"/>
      <c r="AL4" s="95"/>
      <c r="AM4" s="93" t="s">
        <v>24</v>
      </c>
      <c r="AN4" s="94"/>
      <c r="AO4" s="94"/>
      <c r="AP4" s="94"/>
      <c r="AQ4" s="94"/>
      <c r="AR4" s="94"/>
      <c r="AS4" s="95"/>
      <c r="AT4" s="81"/>
      <c r="AU4" s="82"/>
      <c r="AV4" s="82"/>
      <c r="AW4" s="82"/>
      <c r="AX4" s="82"/>
      <c r="AY4" s="82"/>
      <c r="AZ4" s="83"/>
      <c r="BA4" s="84"/>
      <c r="BB4" s="82"/>
      <c r="BC4" s="82"/>
      <c r="BD4" s="82"/>
      <c r="BE4" s="82"/>
      <c r="BF4" s="82"/>
      <c r="BG4" s="83"/>
      <c r="BH4" s="84"/>
      <c r="BI4" s="82"/>
      <c r="BJ4" s="82"/>
      <c r="BK4" s="82"/>
      <c r="BL4" s="82"/>
      <c r="BM4" s="82"/>
      <c r="BN4" s="83"/>
    </row>
    <row r="5" spans="1:66" x14ac:dyDescent="0.25">
      <c r="A5" s="40"/>
      <c r="B5" s="22" t="s">
        <v>0</v>
      </c>
      <c r="C5" s="85"/>
      <c r="D5" s="85"/>
      <c r="E5" s="85"/>
      <c r="F5" s="21"/>
      <c r="G5" s="21"/>
      <c r="H5" s="21"/>
      <c r="I5" s="47"/>
      <c r="J5" s="92"/>
      <c r="K5" s="96"/>
      <c r="L5" s="57"/>
      <c r="M5" s="57"/>
      <c r="N5" s="57"/>
      <c r="O5" s="57"/>
      <c r="P5" s="57"/>
      <c r="Q5" s="58"/>
      <c r="R5" s="96"/>
      <c r="S5" s="57"/>
      <c r="T5" s="57"/>
      <c r="U5" s="57"/>
      <c r="V5" s="57"/>
      <c r="W5" s="57"/>
      <c r="X5" s="58"/>
      <c r="Y5" s="96"/>
      <c r="Z5" s="57"/>
      <c r="AA5" s="57"/>
      <c r="AB5" s="57"/>
      <c r="AC5" s="57"/>
      <c r="AD5" s="57"/>
      <c r="AE5" s="58"/>
      <c r="AF5" s="96"/>
      <c r="AG5" s="57"/>
      <c r="AH5" s="57"/>
      <c r="AI5" s="57"/>
      <c r="AJ5" s="57"/>
      <c r="AK5" s="57"/>
      <c r="AL5" s="58"/>
      <c r="AM5" s="96"/>
      <c r="AN5" s="57"/>
      <c r="AO5" s="57"/>
      <c r="AP5" s="57"/>
      <c r="AQ5" s="57"/>
      <c r="AR5" s="57"/>
      <c r="AS5" s="58"/>
      <c r="AT5" s="68"/>
      <c r="AU5" s="69"/>
      <c r="AV5" s="69"/>
      <c r="AW5" s="69"/>
      <c r="AX5" s="69"/>
      <c r="AY5" s="69"/>
      <c r="AZ5" s="70"/>
      <c r="BA5" s="71"/>
      <c r="BB5" s="69"/>
      <c r="BC5" s="69"/>
      <c r="BD5" s="69"/>
      <c r="BE5" s="69"/>
      <c r="BF5" s="69"/>
      <c r="BG5" s="70"/>
      <c r="BH5" s="71"/>
      <c r="BI5" s="69"/>
      <c r="BJ5" s="69"/>
      <c r="BK5" s="69"/>
      <c r="BL5" s="69"/>
      <c r="BM5" s="69"/>
      <c r="BN5" s="70"/>
    </row>
    <row r="6" spans="1:66" ht="15.75" thickBot="1" x14ac:dyDescent="0.3">
      <c r="A6" s="41"/>
      <c r="B6" s="111"/>
      <c r="C6" s="23"/>
      <c r="D6" s="23"/>
      <c r="E6" s="23"/>
      <c r="F6" s="23"/>
      <c r="G6" s="23"/>
      <c r="H6" s="111"/>
      <c r="I6" s="122"/>
      <c r="J6" s="92"/>
      <c r="K6" s="97"/>
      <c r="L6" s="24"/>
      <c r="M6" s="24"/>
      <c r="N6" s="24"/>
      <c r="O6" s="24"/>
      <c r="P6" s="24"/>
      <c r="Q6" s="42">
        <v>1</v>
      </c>
      <c r="R6" s="97">
        <v>2</v>
      </c>
      <c r="S6" s="24">
        <v>3</v>
      </c>
      <c r="T6" s="24">
        <v>4</v>
      </c>
      <c r="U6" s="24">
        <v>5</v>
      </c>
      <c r="V6" s="24">
        <v>6</v>
      </c>
      <c r="W6" s="24">
        <v>7</v>
      </c>
      <c r="X6" s="42">
        <v>8</v>
      </c>
      <c r="Y6" s="97">
        <v>9</v>
      </c>
      <c r="Z6" s="24">
        <v>10</v>
      </c>
      <c r="AA6" s="24">
        <v>11</v>
      </c>
      <c r="AB6" s="24">
        <v>12</v>
      </c>
      <c r="AC6" s="24">
        <v>13</v>
      </c>
      <c r="AD6" s="24">
        <v>14</v>
      </c>
      <c r="AE6" s="42">
        <v>15</v>
      </c>
      <c r="AF6" s="97">
        <v>16</v>
      </c>
      <c r="AG6" s="24">
        <v>17</v>
      </c>
      <c r="AH6" s="24">
        <v>18</v>
      </c>
      <c r="AI6" s="24">
        <v>19</v>
      </c>
      <c r="AJ6" s="24">
        <v>20</v>
      </c>
      <c r="AK6" s="24">
        <v>21</v>
      </c>
      <c r="AL6" s="42">
        <v>22</v>
      </c>
      <c r="AM6" s="97">
        <v>23</v>
      </c>
      <c r="AN6" s="24">
        <v>24</v>
      </c>
      <c r="AO6" s="24">
        <v>25</v>
      </c>
      <c r="AP6" s="24">
        <v>26</v>
      </c>
      <c r="AQ6" s="24">
        <v>27</v>
      </c>
      <c r="AR6" s="24">
        <v>28</v>
      </c>
      <c r="AS6" s="42"/>
      <c r="AT6" s="19"/>
      <c r="AU6" s="3"/>
      <c r="AV6" s="3"/>
      <c r="AW6" s="3"/>
      <c r="AX6" s="3"/>
      <c r="AY6" s="3"/>
      <c r="AZ6" s="4"/>
      <c r="BA6" s="2"/>
      <c r="BB6" s="3"/>
      <c r="BC6" s="3"/>
      <c r="BD6" s="3"/>
      <c r="BE6" s="3"/>
      <c r="BF6" s="3"/>
      <c r="BG6" s="4"/>
      <c r="BH6" s="2"/>
      <c r="BI6" s="3"/>
      <c r="BJ6" s="3"/>
      <c r="BK6" s="3"/>
      <c r="BL6" s="3"/>
      <c r="BM6" s="3"/>
      <c r="BN6" s="4"/>
    </row>
    <row r="7" spans="1:66" s="1" customFormat="1" ht="18.75" customHeight="1" thickBot="1" x14ac:dyDescent="0.25">
      <c r="A7" s="125"/>
      <c r="B7" s="130" t="s">
        <v>13</v>
      </c>
      <c r="C7" s="126"/>
      <c r="D7" s="35" t="s">
        <v>1</v>
      </c>
      <c r="E7" s="36" t="s">
        <v>2</v>
      </c>
      <c r="F7" s="36" t="s">
        <v>3</v>
      </c>
      <c r="G7" s="48" t="s">
        <v>4</v>
      </c>
      <c r="H7" s="112" t="s">
        <v>8</v>
      </c>
      <c r="I7" s="112" t="s">
        <v>26</v>
      </c>
      <c r="J7" s="118"/>
      <c r="K7" s="98" t="s">
        <v>20</v>
      </c>
      <c r="L7" s="37" t="s">
        <v>21</v>
      </c>
      <c r="M7" s="37" t="s">
        <v>22</v>
      </c>
      <c r="N7" s="37" t="s">
        <v>21</v>
      </c>
      <c r="O7" s="37" t="s">
        <v>23</v>
      </c>
      <c r="P7" s="37" t="s">
        <v>19</v>
      </c>
      <c r="Q7" s="99" t="s">
        <v>19</v>
      </c>
      <c r="R7" s="98" t="s">
        <v>20</v>
      </c>
      <c r="S7" s="37" t="s">
        <v>21</v>
      </c>
      <c r="T7" s="37" t="s">
        <v>22</v>
      </c>
      <c r="U7" s="37" t="s">
        <v>21</v>
      </c>
      <c r="V7" s="37" t="s">
        <v>23</v>
      </c>
      <c r="W7" s="37" t="s">
        <v>19</v>
      </c>
      <c r="X7" s="99" t="s">
        <v>19</v>
      </c>
      <c r="Y7" s="98" t="s">
        <v>20</v>
      </c>
      <c r="Z7" s="37" t="s">
        <v>21</v>
      </c>
      <c r="AA7" s="37" t="s">
        <v>22</v>
      </c>
      <c r="AB7" s="37" t="s">
        <v>21</v>
      </c>
      <c r="AC7" s="37" t="s">
        <v>23</v>
      </c>
      <c r="AD7" s="37" t="s">
        <v>19</v>
      </c>
      <c r="AE7" s="99" t="s">
        <v>19</v>
      </c>
      <c r="AF7" s="98" t="s">
        <v>20</v>
      </c>
      <c r="AG7" s="37" t="s">
        <v>21</v>
      </c>
      <c r="AH7" s="37" t="s">
        <v>22</v>
      </c>
      <c r="AI7" s="37" t="s">
        <v>21</v>
      </c>
      <c r="AJ7" s="37" t="s">
        <v>23</v>
      </c>
      <c r="AK7" s="37" t="s">
        <v>19</v>
      </c>
      <c r="AL7" s="99" t="s">
        <v>19</v>
      </c>
      <c r="AM7" s="98" t="s">
        <v>20</v>
      </c>
      <c r="AN7" s="37" t="s">
        <v>21</v>
      </c>
      <c r="AO7" s="37" t="s">
        <v>22</v>
      </c>
      <c r="AP7" s="37" t="s">
        <v>21</v>
      </c>
      <c r="AQ7" s="37" t="s">
        <v>23</v>
      </c>
      <c r="AR7" s="37" t="s">
        <v>19</v>
      </c>
      <c r="AS7" s="99" t="s">
        <v>19</v>
      </c>
      <c r="AT7" s="20"/>
      <c r="AU7" s="6"/>
      <c r="AV7" s="6"/>
      <c r="AW7" s="6"/>
      <c r="AX7" s="6"/>
      <c r="AY7" s="6"/>
      <c r="AZ7" s="7"/>
      <c r="BA7" s="5"/>
      <c r="BB7" s="6"/>
      <c r="BC7" s="6"/>
      <c r="BD7" s="6"/>
      <c r="BE7" s="6"/>
      <c r="BF7" s="6"/>
      <c r="BG7" s="7"/>
      <c r="BH7" s="5"/>
      <c r="BI7" s="6"/>
      <c r="BJ7" s="6"/>
      <c r="BK7" s="6"/>
      <c r="BL7" s="6"/>
      <c r="BM7" s="6"/>
      <c r="BN7" s="7"/>
    </row>
    <row r="8" spans="1:66" s="9" customFormat="1" ht="19.5" thickBot="1" x14ac:dyDescent="0.3">
      <c r="A8" s="137" t="s">
        <v>9</v>
      </c>
      <c r="B8" s="131" t="s">
        <v>10</v>
      </c>
      <c r="C8" s="15"/>
      <c r="D8" s="16"/>
      <c r="E8" s="39"/>
      <c r="F8" s="17" t="str">
        <f>IF(ISBLANK(E8)," - ",IF(G8=0,E8,E8+G8-1))</f>
        <v xml:space="preserve"> - </v>
      </c>
      <c r="G8" s="18"/>
      <c r="H8" s="113"/>
      <c r="I8" s="123" t="str">
        <f t="shared" ref="I8:I11" si="0">IF(OR(F8=0,E8=0)," - ",NETWORKDAYS(E8,F8))</f>
        <v xml:space="preserve"> - </v>
      </c>
      <c r="J8" s="32"/>
      <c r="K8" s="100"/>
      <c r="L8" s="33"/>
      <c r="M8" s="33"/>
      <c r="N8" s="33"/>
      <c r="O8" s="33"/>
      <c r="P8" s="33"/>
      <c r="Q8" s="34"/>
      <c r="R8" s="100"/>
      <c r="S8" s="33"/>
      <c r="T8" s="33"/>
      <c r="U8" s="33"/>
      <c r="V8" s="33"/>
      <c r="W8" s="33"/>
      <c r="X8" s="34"/>
      <c r="Y8" s="100"/>
      <c r="Z8" s="33"/>
      <c r="AA8" s="33"/>
      <c r="AB8" s="33"/>
      <c r="AC8" s="33"/>
      <c r="AD8" s="33"/>
      <c r="AE8" s="34"/>
      <c r="AF8" s="100"/>
      <c r="AG8" s="33"/>
      <c r="AH8" s="33"/>
      <c r="AI8" s="33"/>
      <c r="AJ8" s="33"/>
      <c r="AK8" s="33"/>
      <c r="AL8" s="34"/>
      <c r="AM8" s="100"/>
      <c r="AN8" s="33"/>
      <c r="AO8" s="33"/>
      <c r="AP8" s="33"/>
      <c r="AQ8" s="33"/>
      <c r="AR8" s="33"/>
      <c r="AS8" s="34"/>
      <c r="AT8" s="8"/>
      <c r="AU8" s="8"/>
      <c r="AV8" s="8"/>
      <c r="AW8" s="8"/>
      <c r="AX8" s="8"/>
      <c r="AY8" s="8"/>
      <c r="AZ8" s="8"/>
      <c r="BA8" s="8"/>
      <c r="BB8" s="8"/>
      <c r="BC8" s="8"/>
      <c r="BD8" s="8"/>
      <c r="BE8" s="8"/>
      <c r="BF8" s="8"/>
      <c r="BG8" s="8"/>
      <c r="BH8" s="8"/>
      <c r="BI8" s="8"/>
      <c r="BJ8" s="8"/>
      <c r="BK8" s="8"/>
      <c r="BL8" s="8"/>
      <c r="BM8" s="8"/>
      <c r="BN8" s="8"/>
    </row>
    <row r="9" spans="1:66" s="11" customFormat="1" ht="18.75" x14ac:dyDescent="0.25">
      <c r="A9" s="138">
        <v>1</v>
      </c>
      <c r="B9" s="132" t="s">
        <v>11</v>
      </c>
      <c r="C9" s="127"/>
      <c r="D9" s="30"/>
      <c r="E9" s="87">
        <v>46054</v>
      </c>
      <c r="F9" s="88"/>
      <c r="G9" s="109"/>
      <c r="H9" s="114">
        <v>4</v>
      </c>
      <c r="I9" s="124">
        <v>30</v>
      </c>
      <c r="J9" s="119"/>
      <c r="K9" s="101"/>
      <c r="L9" s="38"/>
      <c r="M9" s="38"/>
      <c r="N9" s="38"/>
      <c r="O9" s="38"/>
      <c r="P9" s="38"/>
      <c r="Q9" s="102"/>
      <c r="R9" s="101"/>
      <c r="S9" s="38"/>
      <c r="T9" s="38"/>
      <c r="U9" s="38"/>
      <c r="V9" s="38"/>
      <c r="W9" s="38"/>
      <c r="X9" s="108"/>
      <c r="Y9" s="101"/>
      <c r="Z9" s="38"/>
      <c r="AA9" s="38"/>
      <c r="AB9" s="38"/>
      <c r="AC9" s="38"/>
      <c r="AD9" s="38"/>
      <c r="AE9" s="44"/>
      <c r="AF9" s="43"/>
      <c r="AG9" s="29"/>
      <c r="AH9" s="29"/>
      <c r="AI9" s="29"/>
      <c r="AJ9" s="29"/>
      <c r="AK9" s="29"/>
      <c r="AL9" s="44"/>
      <c r="AM9" s="43"/>
      <c r="AN9" s="29"/>
      <c r="AO9" s="38"/>
      <c r="AQ9" s="29"/>
      <c r="AR9" s="29"/>
      <c r="AS9" s="44"/>
      <c r="AT9" s="10"/>
      <c r="AU9" s="10"/>
      <c r="AV9" s="10"/>
      <c r="AW9" s="10"/>
      <c r="AX9" s="10"/>
      <c r="AY9" s="10"/>
      <c r="AZ9" s="10"/>
      <c r="BA9" s="10"/>
      <c r="BB9" s="10"/>
      <c r="BC9" s="10"/>
      <c r="BD9" s="10"/>
      <c r="BE9" s="10"/>
      <c r="BF9" s="10"/>
      <c r="BG9" s="10"/>
      <c r="BH9" s="10"/>
      <c r="BI9" s="10"/>
      <c r="BJ9" s="10"/>
      <c r="BK9" s="10"/>
      <c r="BL9" s="10"/>
      <c r="BM9" s="10"/>
      <c r="BN9" s="10"/>
    </row>
    <row r="10" spans="1:66" s="11" customFormat="1" ht="19.5" thickBot="1" x14ac:dyDescent="0.3">
      <c r="A10" s="139">
        <v>2</v>
      </c>
      <c r="B10" s="133" t="s">
        <v>11</v>
      </c>
      <c r="C10" s="128"/>
      <c r="D10" s="26"/>
      <c r="E10" s="89">
        <v>46060</v>
      </c>
      <c r="F10" s="90"/>
      <c r="G10" s="110"/>
      <c r="H10" s="114">
        <v>9</v>
      </c>
      <c r="I10" s="124">
        <v>0</v>
      </c>
      <c r="J10" s="120"/>
      <c r="K10" s="103"/>
      <c r="L10" s="27"/>
      <c r="M10" s="27"/>
      <c r="N10" s="27"/>
      <c r="O10" s="27"/>
      <c r="P10" s="27"/>
      <c r="Q10" s="104"/>
      <c r="R10" s="103"/>
      <c r="S10" s="27"/>
      <c r="T10" s="27"/>
      <c r="U10" s="27"/>
      <c r="V10" s="27"/>
      <c r="W10" s="102"/>
      <c r="X10" s="104"/>
      <c r="Y10" s="103"/>
      <c r="Z10" s="27"/>
      <c r="AA10" s="27"/>
      <c r="AB10" s="27"/>
      <c r="AC10" s="27"/>
      <c r="AD10" s="27"/>
      <c r="AE10" s="46"/>
      <c r="AF10" s="45"/>
      <c r="AG10" s="25"/>
      <c r="AH10" s="25"/>
      <c r="AI10" s="25"/>
      <c r="AJ10" s="25"/>
      <c r="AK10" s="25"/>
      <c r="AL10" s="46"/>
      <c r="AM10" s="45"/>
      <c r="AN10" s="25"/>
      <c r="AO10" s="25"/>
      <c r="AP10" s="25"/>
      <c r="AQ10" s="27"/>
      <c r="AS10" s="46"/>
      <c r="AT10" s="10"/>
      <c r="AU10" s="10"/>
      <c r="AV10" s="10"/>
      <c r="AW10" s="10"/>
      <c r="AX10" s="10"/>
      <c r="AY10" s="10"/>
      <c r="AZ10" s="10"/>
      <c r="BA10" s="10"/>
      <c r="BB10" s="10"/>
      <c r="BC10" s="10"/>
      <c r="BD10" s="10"/>
      <c r="BE10" s="10"/>
      <c r="BF10" s="10"/>
      <c r="BG10" s="10"/>
      <c r="BH10" s="10"/>
      <c r="BI10" s="10"/>
      <c r="BJ10" s="10"/>
      <c r="BK10" s="10"/>
      <c r="BL10" s="10"/>
      <c r="BM10" s="10"/>
      <c r="BN10" s="10"/>
    </row>
    <row r="11" spans="1:66" s="9" customFormat="1" ht="19.5" thickBot="1" x14ac:dyDescent="0.3">
      <c r="A11" s="137" t="s">
        <v>9</v>
      </c>
      <c r="B11" s="131" t="s">
        <v>12</v>
      </c>
      <c r="C11" s="15"/>
      <c r="D11" s="16"/>
      <c r="E11" s="17"/>
      <c r="F11" s="17" t="str">
        <f t="shared" ref="F11" si="1">IF(ISBLANK(E11)," - ",IF(G11=0,E11,E11+G11-1))</f>
        <v xml:space="preserve"> - </v>
      </c>
      <c r="G11" s="18"/>
      <c r="H11" s="115"/>
      <c r="I11" s="123" t="str">
        <f t="shared" si="0"/>
        <v xml:space="preserve"> - </v>
      </c>
      <c r="J11" s="32"/>
      <c r="K11" s="100"/>
      <c r="L11" s="33"/>
      <c r="M11" s="33"/>
      <c r="N11" s="33"/>
      <c r="O11" s="33"/>
      <c r="P11" s="33"/>
      <c r="Q11" s="34"/>
      <c r="R11" s="100"/>
      <c r="S11" s="33"/>
      <c r="T11" s="33"/>
      <c r="U11" s="33"/>
      <c r="V11" s="33"/>
      <c r="W11" s="33"/>
      <c r="X11" s="34"/>
      <c r="Y11" s="100"/>
      <c r="Z11" s="33"/>
      <c r="AA11" s="33"/>
      <c r="AB11" s="33"/>
      <c r="AC11" s="33"/>
      <c r="AD11" s="33"/>
      <c r="AE11" s="34"/>
      <c r="AF11" s="100"/>
      <c r="AG11" s="33"/>
      <c r="AH11" s="33"/>
      <c r="AI11" s="33"/>
      <c r="AJ11" s="33"/>
      <c r="AK11" s="33"/>
      <c r="AL11" s="34"/>
      <c r="AM11" s="100"/>
      <c r="AN11" s="33"/>
      <c r="AO11" s="33"/>
      <c r="AP11" s="33"/>
      <c r="AQ11" s="33"/>
      <c r="AR11" s="33"/>
      <c r="AS11" s="34"/>
      <c r="AT11" s="12"/>
      <c r="AU11" s="12"/>
      <c r="AV11" s="12"/>
      <c r="AW11" s="12"/>
      <c r="AX11" s="12"/>
      <c r="AY11" s="12"/>
      <c r="AZ11" s="12"/>
      <c r="BA11" s="12"/>
      <c r="BB11" s="12"/>
      <c r="BC11" s="12"/>
      <c r="BD11" s="12"/>
      <c r="BE11" s="12"/>
      <c r="BF11" s="12"/>
      <c r="BG11" s="12"/>
      <c r="BH11" s="12"/>
      <c r="BI11" s="12"/>
      <c r="BJ11" s="12"/>
      <c r="BK11" s="12"/>
      <c r="BL11" s="12"/>
      <c r="BM11" s="12"/>
      <c r="BN11" s="12"/>
    </row>
    <row r="12" spans="1:66" s="11" customFormat="1" ht="18.75" x14ac:dyDescent="0.25">
      <c r="A12" s="138">
        <v>1</v>
      </c>
      <c r="B12" s="132" t="s">
        <v>25</v>
      </c>
      <c r="C12" s="127"/>
      <c r="D12" s="30"/>
      <c r="E12" s="89">
        <v>46063</v>
      </c>
      <c r="F12" s="88"/>
      <c r="G12" s="109"/>
      <c r="H12" s="116">
        <v>4</v>
      </c>
      <c r="I12" s="116">
        <v>0</v>
      </c>
      <c r="J12" s="119"/>
      <c r="K12" s="43"/>
      <c r="L12" s="29"/>
      <c r="M12" s="29"/>
      <c r="N12" s="29"/>
      <c r="O12" s="29"/>
      <c r="P12" s="29"/>
      <c r="Q12" s="44"/>
      <c r="R12" s="43"/>
      <c r="S12" s="29"/>
      <c r="T12" s="29"/>
      <c r="U12" s="29"/>
      <c r="V12" s="29"/>
      <c r="W12" s="29"/>
      <c r="X12" s="44"/>
      <c r="Y12" s="43"/>
      <c r="Z12" s="102"/>
      <c r="AA12" s="29"/>
      <c r="AB12" s="29"/>
      <c r="AC12" s="29"/>
      <c r="AD12" s="29"/>
      <c r="AE12" s="44"/>
      <c r="AF12" s="43"/>
      <c r="AG12" s="29"/>
      <c r="AH12" s="29"/>
      <c r="AI12" s="29"/>
      <c r="AJ12" s="29"/>
      <c r="AK12" s="29"/>
      <c r="AL12" s="44"/>
      <c r="AM12" s="43"/>
      <c r="AN12" s="29"/>
      <c r="AO12" s="29"/>
      <c r="AP12" s="29"/>
      <c r="AQ12" s="29"/>
      <c r="AR12" s="29"/>
      <c r="AS12" s="44"/>
      <c r="AT12" s="10"/>
      <c r="AU12" s="10"/>
      <c r="AV12" s="10"/>
      <c r="AW12" s="10"/>
      <c r="AX12" s="10"/>
      <c r="AY12" s="10"/>
      <c r="AZ12" s="10"/>
      <c r="BA12" s="10"/>
      <c r="BB12" s="10"/>
      <c r="BC12" s="10"/>
      <c r="BD12" s="10"/>
      <c r="BE12" s="10"/>
      <c r="BF12" s="10"/>
      <c r="BG12" s="10"/>
      <c r="BH12" s="10"/>
      <c r="BI12" s="10"/>
      <c r="BJ12" s="10"/>
      <c r="BK12" s="10"/>
      <c r="BL12" s="10"/>
      <c r="BM12" s="10"/>
      <c r="BN12" s="10"/>
    </row>
    <row r="13" spans="1:66" s="11" customFormat="1" ht="18.75" x14ac:dyDescent="0.25">
      <c r="A13" s="139">
        <v>2</v>
      </c>
      <c r="B13" s="132" t="s">
        <v>25</v>
      </c>
      <c r="C13" s="128"/>
      <c r="D13" s="26"/>
      <c r="E13" s="89">
        <v>46067</v>
      </c>
      <c r="F13" s="90"/>
      <c r="G13" s="110"/>
      <c r="H13" s="114">
        <v>8</v>
      </c>
      <c r="I13" s="114">
        <v>30</v>
      </c>
      <c r="J13" s="120"/>
      <c r="K13" s="45"/>
      <c r="L13" s="25"/>
      <c r="M13" s="25"/>
      <c r="N13" s="25"/>
      <c r="O13" s="25"/>
      <c r="P13" s="25"/>
      <c r="Q13" s="46"/>
      <c r="R13" s="45"/>
      <c r="S13" s="25"/>
      <c r="T13" s="25"/>
      <c r="U13" s="25"/>
      <c r="V13" s="25"/>
      <c r="W13" s="25"/>
      <c r="X13" s="46"/>
      <c r="Y13" s="45"/>
      <c r="Z13" s="25"/>
      <c r="AA13" s="25"/>
      <c r="AB13" s="25"/>
      <c r="AC13" s="25"/>
      <c r="AD13" s="102"/>
      <c r="AE13" s="46"/>
      <c r="AF13" s="45"/>
      <c r="AG13" s="25"/>
      <c r="AH13" s="25"/>
      <c r="AI13" s="25"/>
      <c r="AJ13" s="25"/>
      <c r="AK13" s="25"/>
      <c r="AL13" s="46"/>
      <c r="AM13" s="45"/>
      <c r="AN13" s="25"/>
      <c r="AO13" s="25"/>
      <c r="AP13" s="25"/>
      <c r="AQ13" s="25"/>
      <c r="AR13" s="25"/>
      <c r="AS13" s="46"/>
      <c r="AT13" s="10"/>
      <c r="AU13" s="10"/>
      <c r="AV13" s="10"/>
      <c r="AW13" s="10"/>
      <c r="AX13" s="10"/>
      <c r="AY13" s="10"/>
      <c r="AZ13" s="10"/>
      <c r="BA13" s="10"/>
      <c r="BB13" s="10"/>
      <c r="BC13" s="10"/>
      <c r="BD13" s="10"/>
      <c r="BE13" s="10"/>
      <c r="BF13" s="10"/>
      <c r="BG13" s="10"/>
      <c r="BH13" s="10"/>
      <c r="BI13" s="10"/>
      <c r="BJ13" s="10"/>
      <c r="BK13" s="10"/>
      <c r="BL13" s="10"/>
      <c r="BM13" s="10"/>
      <c r="BN13" s="10"/>
    </row>
    <row r="14" spans="1:66" s="11" customFormat="1" ht="18.75" x14ac:dyDescent="0.25">
      <c r="A14" s="139">
        <v>3</v>
      </c>
      <c r="B14" s="132" t="s">
        <v>25</v>
      </c>
      <c r="C14" s="128"/>
      <c r="D14" s="26"/>
      <c r="E14" s="89">
        <v>46074</v>
      </c>
      <c r="F14" s="90"/>
      <c r="G14" s="109"/>
      <c r="H14" s="116">
        <v>3</v>
      </c>
      <c r="I14" s="114">
        <v>30</v>
      </c>
      <c r="J14" s="120"/>
      <c r="K14" s="45"/>
      <c r="L14" s="25"/>
      <c r="M14" s="25"/>
      <c r="N14" s="25"/>
      <c r="O14" s="25"/>
      <c r="P14" s="25"/>
      <c r="Q14" s="46"/>
      <c r="R14" s="45"/>
      <c r="S14" s="25"/>
      <c r="T14" s="25"/>
      <c r="U14" s="25"/>
      <c r="V14" s="25"/>
      <c r="W14" s="25"/>
      <c r="X14" s="46"/>
      <c r="Y14" s="45"/>
      <c r="Z14" s="25"/>
      <c r="AA14" s="25"/>
      <c r="AB14" s="25"/>
      <c r="AC14" s="25"/>
      <c r="AD14" s="25"/>
      <c r="AE14" s="46"/>
      <c r="AF14" s="45"/>
      <c r="AG14" s="25"/>
      <c r="AH14" s="25"/>
      <c r="AI14" s="25"/>
      <c r="AJ14" s="25"/>
      <c r="AK14" s="102"/>
      <c r="AL14" s="46"/>
      <c r="AM14" s="45"/>
      <c r="AN14" s="25"/>
      <c r="AO14" s="25"/>
      <c r="AP14" s="25"/>
      <c r="AQ14" s="25"/>
      <c r="AR14" s="25"/>
      <c r="AS14" s="46"/>
      <c r="AT14" s="10"/>
      <c r="AU14" s="10"/>
      <c r="AV14" s="10"/>
      <c r="AW14" s="10"/>
      <c r="AX14" s="10"/>
      <c r="AY14" s="10"/>
      <c r="AZ14" s="10"/>
      <c r="BA14" s="10"/>
      <c r="BB14" s="10"/>
      <c r="BC14" s="10"/>
      <c r="BD14" s="10"/>
      <c r="BE14" s="10"/>
      <c r="BF14" s="10"/>
      <c r="BG14" s="10"/>
      <c r="BH14" s="10"/>
      <c r="BI14" s="10"/>
      <c r="BJ14" s="10"/>
      <c r="BK14" s="10"/>
      <c r="BL14" s="10"/>
      <c r="BM14" s="10"/>
      <c r="BN14" s="10"/>
    </row>
    <row r="15" spans="1:66" s="11" customFormat="1" ht="18.75" x14ac:dyDescent="0.25">
      <c r="A15" s="139">
        <v>4</v>
      </c>
      <c r="B15" s="132" t="s">
        <v>25</v>
      </c>
      <c r="C15" s="128"/>
      <c r="D15" s="26"/>
      <c r="E15" s="89">
        <v>46075</v>
      </c>
      <c r="F15" s="90"/>
      <c r="G15" s="110"/>
      <c r="H15" s="114">
        <v>2</v>
      </c>
      <c r="I15" s="114">
        <v>30</v>
      </c>
      <c r="J15" s="120"/>
      <c r="K15" s="45"/>
      <c r="L15" s="25"/>
      <c r="M15" s="25"/>
      <c r="N15" s="25"/>
      <c r="O15" s="25"/>
      <c r="P15" s="25"/>
      <c r="Q15" s="46"/>
      <c r="R15" s="45"/>
      <c r="S15" s="25"/>
      <c r="T15" s="25"/>
      <c r="U15" s="25"/>
      <c r="V15" s="25"/>
      <c r="W15" s="25"/>
      <c r="X15" s="46"/>
      <c r="Y15" s="45"/>
      <c r="Z15" s="25"/>
      <c r="AA15" s="25"/>
      <c r="AB15" s="25"/>
      <c r="AC15" s="25"/>
      <c r="AD15" s="25"/>
      <c r="AE15" s="46"/>
      <c r="AF15" s="45"/>
      <c r="AG15" s="25"/>
      <c r="AH15" s="25"/>
      <c r="AI15" s="25"/>
      <c r="AJ15" s="25"/>
      <c r="AK15" s="25"/>
      <c r="AL15" s="102"/>
      <c r="AM15" s="45"/>
      <c r="AN15" s="25"/>
      <c r="AO15" s="25"/>
      <c r="AP15" s="25"/>
      <c r="AQ15" s="25"/>
      <c r="AR15" s="25"/>
      <c r="AS15" s="46"/>
      <c r="AT15" s="10"/>
      <c r="AU15" s="10"/>
      <c r="AV15" s="10"/>
      <c r="AW15" s="10"/>
      <c r="AX15" s="10"/>
      <c r="AY15" s="10"/>
      <c r="AZ15" s="10"/>
      <c r="BA15" s="10"/>
      <c r="BB15" s="10"/>
      <c r="BC15" s="10"/>
      <c r="BD15" s="10"/>
      <c r="BE15" s="10"/>
      <c r="BF15" s="10"/>
      <c r="BG15" s="10"/>
      <c r="BH15" s="10"/>
      <c r="BI15" s="10"/>
      <c r="BJ15" s="10"/>
      <c r="BK15" s="10"/>
      <c r="BL15" s="10"/>
      <c r="BM15" s="10"/>
      <c r="BN15" s="10"/>
    </row>
    <row r="16" spans="1:66" s="13" customFormat="1" ht="19.5" thickBot="1" x14ac:dyDescent="0.3">
      <c r="A16" s="140">
        <v>5</v>
      </c>
      <c r="B16" s="134" t="s">
        <v>25</v>
      </c>
      <c r="C16" s="129"/>
      <c r="D16" s="28"/>
      <c r="E16" s="89">
        <v>46081</v>
      </c>
      <c r="F16" s="91"/>
      <c r="G16" s="110"/>
      <c r="H16" s="117">
        <v>8</v>
      </c>
      <c r="I16" s="117">
        <v>0</v>
      </c>
      <c r="J16" s="121"/>
      <c r="K16" s="105"/>
      <c r="L16" s="106"/>
      <c r="M16" s="106"/>
      <c r="N16" s="106"/>
      <c r="O16" s="106"/>
      <c r="P16" s="106"/>
      <c r="Q16" s="107"/>
      <c r="R16" s="105"/>
      <c r="S16" s="106"/>
      <c r="T16" s="106"/>
      <c r="U16" s="106"/>
      <c r="V16" s="106"/>
      <c r="W16" s="106"/>
      <c r="X16" s="107"/>
      <c r="Y16" s="105"/>
      <c r="Z16" s="106"/>
      <c r="AA16" s="106"/>
      <c r="AB16" s="106"/>
      <c r="AC16" s="106"/>
      <c r="AD16" s="106"/>
      <c r="AE16" s="107"/>
      <c r="AF16" s="105"/>
      <c r="AG16" s="106"/>
      <c r="AH16" s="106"/>
      <c r="AI16" s="106"/>
      <c r="AJ16" s="106"/>
      <c r="AK16" s="106"/>
      <c r="AL16" s="107"/>
      <c r="AM16" s="105"/>
      <c r="AN16" s="106"/>
      <c r="AO16" s="106"/>
      <c r="AP16" s="106"/>
      <c r="AQ16" s="106"/>
      <c r="AR16" s="102"/>
      <c r="AS16" s="107"/>
      <c r="AT16" s="49"/>
      <c r="AU16" s="49"/>
      <c r="AV16" s="49"/>
      <c r="AW16" s="49"/>
      <c r="AX16" s="49"/>
      <c r="AY16" s="49"/>
      <c r="AZ16" s="49"/>
      <c r="BA16" s="49"/>
      <c r="BB16" s="49"/>
      <c r="BC16" s="49"/>
      <c r="BD16" s="49"/>
      <c r="BE16" s="49"/>
      <c r="BF16" s="49"/>
      <c r="BG16" s="49"/>
      <c r="BH16" s="49"/>
      <c r="BI16" s="49"/>
      <c r="BJ16" s="49"/>
      <c r="BK16" s="49"/>
      <c r="BL16" s="49"/>
      <c r="BM16" s="49"/>
      <c r="BN16" s="49"/>
    </row>
    <row r="17" spans="1:66" s="15" customFormat="1" ht="19.5" thickBot="1" x14ac:dyDescent="0.3">
      <c r="A17" s="31"/>
      <c r="B17" s="14" t="s">
        <v>14</v>
      </c>
      <c r="D17" s="16"/>
      <c r="E17" s="17"/>
      <c r="F17" s="17"/>
      <c r="G17" s="18"/>
      <c r="H17" s="51">
        <v>40</v>
      </c>
      <c r="J17" s="32"/>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4"/>
      <c r="AT17" s="33"/>
      <c r="AU17" s="33"/>
      <c r="AV17" s="33"/>
      <c r="AW17" s="33"/>
      <c r="AX17" s="33"/>
      <c r="AY17" s="33"/>
      <c r="AZ17" s="33"/>
      <c r="BA17" s="33"/>
      <c r="BB17" s="33"/>
      <c r="BC17" s="33"/>
      <c r="BD17" s="33"/>
      <c r="BE17" s="33"/>
      <c r="BF17" s="33"/>
      <c r="BG17" s="33"/>
      <c r="BH17" s="33"/>
      <c r="BI17" s="33"/>
      <c r="BJ17" s="33"/>
      <c r="BK17" s="33"/>
      <c r="BL17" s="33"/>
      <c r="BM17" s="33"/>
      <c r="BN17" s="33"/>
    </row>
    <row r="18" spans="1:66" x14ac:dyDescent="0.25">
      <c r="A18" s="135" t="s">
        <v>28</v>
      </c>
      <c r="B18" s="135"/>
      <c r="C18" s="135"/>
      <c r="D18" s="135"/>
      <c r="E18" s="135"/>
      <c r="F18" s="135"/>
      <c r="G18" s="135"/>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row>
    <row r="19" spans="1:66" x14ac:dyDescent="0.25">
      <c r="A19" s="136"/>
      <c r="B19" s="136"/>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row>
  </sheetData>
  <mergeCells count="17">
    <mergeCell ref="A18:AS19"/>
    <mergeCell ref="A1:I2"/>
    <mergeCell ref="A3:I3"/>
    <mergeCell ref="AT5:AZ5"/>
    <mergeCell ref="BA5:BG5"/>
    <mergeCell ref="BH5:BN5"/>
    <mergeCell ref="K1:AS3"/>
    <mergeCell ref="AT4:AZ4"/>
    <mergeCell ref="BA4:BG4"/>
    <mergeCell ref="BH4:BN4"/>
    <mergeCell ref="C5:E5"/>
    <mergeCell ref="C4:E4"/>
    <mergeCell ref="AM4:AS5"/>
    <mergeCell ref="AF4:AL5"/>
    <mergeCell ref="Y4:AE5"/>
    <mergeCell ref="R4:X5"/>
    <mergeCell ref="K4:Q5"/>
  </mergeCells>
  <phoneticPr fontId="15" type="noConversion"/>
  <conditionalFormatting sqref="H11 H8 G9:G10">
    <cfRule type="dataBar" priority="16">
      <dataBar>
        <cfvo type="num" val="0"/>
        <cfvo type="num" val="1"/>
        <color theme="0" tint="-0.34998626667073579"/>
      </dataBar>
      <extLst>
        <ext xmlns:x14="http://schemas.microsoft.com/office/spreadsheetml/2009/9/main" uri="{B025F937-C7B1-47D3-B67F-A62EFF666E3E}">
          <x14:id>{BCBC3163-31B5-4D32-850A-B122219B0D6C}</x14:id>
        </ext>
      </extLst>
    </cfRule>
  </conditionalFormatting>
  <conditionalFormatting sqref="K6:BN7">
    <cfRule type="expression" dxfId="20" priority="18">
      <formula>K$6=TODAY()</formula>
    </cfRule>
  </conditionalFormatting>
  <conditionalFormatting sqref="K9:AN9 AQ9:BN9 AS10:BN10 K6:BN8 K10:AP10 K11:BN17">
    <cfRule type="expression" dxfId="19" priority="17">
      <formula>K$6=TODAY()</formula>
    </cfRule>
  </conditionalFormatting>
  <conditionalFormatting sqref="K8:BN8 K11:BN16">
    <cfRule type="expression" dxfId="18" priority="19">
      <formula>AND($E8&lt;=K$6,ROUNDDOWN(($F8-$E8+1)*$H8,0)+$E8-1&gt;=K$6)</formula>
    </cfRule>
    <cfRule type="expression" dxfId="17" priority="20">
      <formula>AND(NOT(ISBLANK($E8)),$E8&lt;=K$6,$F8&gt;=K$6)</formula>
    </cfRule>
  </conditionalFormatting>
  <conditionalFormatting sqref="AO9 AQ10">
    <cfRule type="expression" dxfId="16" priority="22">
      <formula>AP$6=TODAY()</formula>
    </cfRule>
  </conditionalFormatting>
  <conditionalFormatting sqref="AM7:AO7 K9:AN9 AQ9:BN9 AS10:BN10 K10:AP10">
    <cfRule type="expression" dxfId="15" priority="39">
      <formula>AND($E7&lt;=K$6,ROUNDDOWN(($F7-$E7+1)*$G7,0)+$E7-1&gt;=K$6)</formula>
    </cfRule>
    <cfRule type="expression" dxfId="14" priority="40">
      <formula>AND(NOT(ISBLANK($E7)),$E7&lt;=K$6,$F7&gt;=K$6)</formula>
    </cfRule>
  </conditionalFormatting>
  <conditionalFormatting sqref="AO9 AQ10">
    <cfRule type="expression" dxfId="13" priority="53">
      <formula>AND($E9&lt;=AP$6,ROUNDDOWN(($F9-$E9+1)*$G9,0)+$E9-1&gt;=AP$6)</formula>
    </cfRule>
    <cfRule type="expression" dxfId="12" priority="54">
      <formula>AND(NOT(ISBLANK($E9)),$E9&lt;=AP$6,$F9&gt;=AP$6)</formula>
    </cfRule>
  </conditionalFormatting>
  <conditionalFormatting sqref="G12:G13">
    <cfRule type="dataBar" priority="13">
      <dataBar>
        <cfvo type="num" val="0"/>
        <cfvo type="num" val="1"/>
        <color theme="0" tint="-0.34998626667073579"/>
      </dataBar>
      <extLst>
        <ext xmlns:x14="http://schemas.microsoft.com/office/spreadsheetml/2009/9/main" uri="{B025F937-C7B1-47D3-B67F-A62EFF666E3E}">
          <x14:id>{0ADE128C-D510-45BA-A15C-23E905039C3D}</x14:id>
        </ext>
      </extLst>
    </cfRule>
  </conditionalFormatting>
  <conditionalFormatting sqref="G14:G15">
    <cfRule type="dataBar" priority="12">
      <dataBar>
        <cfvo type="num" val="0"/>
        <cfvo type="num" val="1"/>
        <color theme="0" tint="-0.34998626667073579"/>
      </dataBar>
      <extLst>
        <ext xmlns:x14="http://schemas.microsoft.com/office/spreadsheetml/2009/9/main" uri="{B025F937-C7B1-47D3-B67F-A62EFF666E3E}">
          <x14:id>{63C889CC-6B43-40FE-99E3-F3FBEEDDAC4C}</x14:id>
        </ext>
      </extLst>
    </cfRule>
  </conditionalFormatting>
  <conditionalFormatting sqref="G16">
    <cfRule type="dataBar" priority="11">
      <dataBar>
        <cfvo type="num" val="0"/>
        <cfvo type="num" val="1"/>
        <color theme="0" tint="-0.34998626667073579"/>
      </dataBar>
      <extLst>
        <ext xmlns:x14="http://schemas.microsoft.com/office/spreadsheetml/2009/9/main" uri="{B025F937-C7B1-47D3-B67F-A62EFF666E3E}">
          <x14:id>{67628C50-517E-4FF9-BE1F-1E493C705778}</x14:id>
        </ext>
      </extLst>
    </cfRule>
  </conditionalFormatting>
  <conditionalFormatting sqref="K17:BN17">
    <cfRule type="expression" dxfId="11" priority="57">
      <formula>AND($E17&lt;=K$6,ROUNDDOWN(($F17-$E17+1)*#REF!,0)+$E17-1&gt;=K$6)</formula>
    </cfRule>
    <cfRule type="expression" dxfId="10" priority="58">
      <formula>AND(NOT(ISBLANK($E17)),$E17&lt;=K$6,$F17&gt;=K$6)</formula>
    </cfRule>
  </conditionalFormatting>
  <conditionalFormatting sqref="Z12">
    <cfRule type="expression" dxfId="9" priority="9">
      <formula>AND($E12&lt;=Z$6,ROUNDDOWN(($F12-$E12+1)*$G12,0)+$E12-1&gt;=Z$6)</formula>
    </cfRule>
    <cfRule type="expression" dxfId="8" priority="10">
      <formula>AND(NOT(ISBLANK($E12)),$E12&lt;=Z$6,$F12&gt;=Z$6)</formula>
    </cfRule>
  </conditionalFormatting>
  <conditionalFormatting sqref="AD13">
    <cfRule type="expression" dxfId="7" priority="7">
      <formula>AND($E13&lt;=AD$6,ROUNDDOWN(($F13-$E13+1)*$G13,0)+$E13-1&gt;=AD$6)</formula>
    </cfRule>
    <cfRule type="expression" dxfId="6" priority="8">
      <formula>AND(NOT(ISBLANK($E13)),$E13&lt;=AD$6,$F13&gt;=AD$6)</formula>
    </cfRule>
  </conditionalFormatting>
  <conditionalFormatting sqref="AK14">
    <cfRule type="expression" dxfId="5" priority="5">
      <formula>AND($E14&lt;=AK$6,ROUNDDOWN(($F14-$E14+1)*$G14,0)+$E14-1&gt;=AK$6)</formula>
    </cfRule>
    <cfRule type="expression" dxfId="4" priority="6">
      <formula>AND(NOT(ISBLANK($E14)),$E14&lt;=AK$6,$F14&gt;=AK$6)</formula>
    </cfRule>
  </conditionalFormatting>
  <conditionalFormatting sqref="AR16">
    <cfRule type="expression" dxfId="3" priority="3">
      <formula>AND($E16&lt;=AR$6,ROUNDDOWN(($F16-$E16+1)*$G16,0)+$E16-1&gt;=AR$6)</formula>
    </cfRule>
    <cfRule type="expression" dxfId="2" priority="4">
      <formula>AND(NOT(ISBLANK($E16)),$E16&lt;=AR$6,$F16&gt;=AR$6)</formula>
    </cfRule>
  </conditionalFormatting>
  <conditionalFormatting sqref="AL15">
    <cfRule type="expression" dxfId="1" priority="1">
      <formula>AND($E15&lt;=AL$6,ROUNDDOWN(($F15-$E15+1)*$G15,0)+$E15-1&gt;=AL$6)</formula>
    </cfRule>
    <cfRule type="expression" dxfId="0" priority="2">
      <formula>AND(NOT(ISBLANK($E15)),$E15&lt;=AL$6,$F15&gt;=AL$6)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2A1EE64C-F34D-48E0-90C8-3BE6BF7F3D0A}"/>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BCBC3163-31B5-4D32-850A-B122219B0D6C}">
            <x14:dataBar minLength="0" maxLength="100" gradient="0">
              <x14:cfvo type="num">
                <xm:f>0</xm:f>
              </x14:cfvo>
              <x14:cfvo type="num">
                <xm:f>1</xm:f>
              </x14:cfvo>
              <x14:negativeFillColor rgb="FFFF0000"/>
              <x14:axisColor rgb="FF000000"/>
            </x14:dataBar>
          </x14:cfRule>
          <xm:sqref>H11 H8 G9:G10</xm:sqref>
        </x14:conditionalFormatting>
        <x14:conditionalFormatting xmlns:xm="http://schemas.microsoft.com/office/excel/2006/main">
          <x14:cfRule type="dataBar" id="{0ADE128C-D510-45BA-A15C-23E905039C3D}">
            <x14:dataBar minLength="0" maxLength="100" gradient="0">
              <x14:cfvo type="num">
                <xm:f>0</xm:f>
              </x14:cfvo>
              <x14:cfvo type="num">
                <xm:f>1</xm:f>
              </x14:cfvo>
              <x14:negativeFillColor rgb="FFFF0000"/>
              <x14:axisColor rgb="FF000000"/>
            </x14:dataBar>
          </x14:cfRule>
          <xm:sqref>G12:G13</xm:sqref>
        </x14:conditionalFormatting>
        <x14:conditionalFormatting xmlns:xm="http://schemas.microsoft.com/office/excel/2006/main">
          <x14:cfRule type="dataBar" id="{63C889CC-6B43-40FE-99E3-F3FBEEDDAC4C}">
            <x14:dataBar minLength="0" maxLength="100" gradient="0">
              <x14:cfvo type="num">
                <xm:f>0</xm:f>
              </x14:cfvo>
              <x14:cfvo type="num">
                <xm:f>1</xm:f>
              </x14:cfvo>
              <x14:negativeFillColor rgb="FFFF0000"/>
              <x14:axisColor rgb="FF000000"/>
            </x14:dataBar>
          </x14:cfRule>
          <xm:sqref>G14:G15</xm:sqref>
        </x14:conditionalFormatting>
        <x14:conditionalFormatting xmlns:xm="http://schemas.microsoft.com/office/excel/2006/main">
          <x14:cfRule type="dataBar" id="{67628C50-517E-4FF9-BE1F-1E493C705778}">
            <x14:dataBar minLength="0" maxLength="100" gradient="0">
              <x14:cfvo type="num">
                <xm:f>0</xm:f>
              </x14:cfvo>
              <x14:cfvo type="num">
                <xm:f>1</xm:f>
              </x14:cfvo>
              <x14:negativeFillColor rgb="FFFF0000"/>
              <x14:axisColor rgb="FF000000"/>
            </x14:dataBar>
          </x14:cfRule>
          <xm:sqref>G16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Sayfa1</vt:lpstr>
      <vt:lpstr>Sayfa1!prevWBS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burak yalım</dc:creator>
  <cp:lastModifiedBy>burak yalım</cp:lastModifiedBy>
  <dcterms:created xsi:type="dcterms:W3CDTF">2015-06-05T18:19:34Z</dcterms:created>
  <dcterms:modified xsi:type="dcterms:W3CDTF">2026-03-13T21:19:25Z</dcterms:modified>
</cp:coreProperties>
</file>