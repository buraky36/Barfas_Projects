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lans\"/>
    </mc:Choice>
  </mc:AlternateContent>
  <xr:revisionPtr revIDLastSave="0" documentId="13_ncr:1_{FD0F8B4F-2CBA-4A0B-81C1-45A3AFC43064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ayfa1" sheetId="1" r:id="rId1"/>
  </sheets>
  <definedNames>
    <definedName name="prevWBS" localSheetId="0">Sayfa1!$A1048576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2" i="1" l="1"/>
  <c r="H22" i="1"/>
  <c r="F10" i="1"/>
  <c r="F8" i="1"/>
  <c r="I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  <author>Vertex42.com Templates</author>
  </authors>
  <commentList>
    <comment ref="B7" authorId="0" shapeId="0" xr:uid="{FDD9EDE1-E4E8-4500-BD14-B94FC548038B}">
      <text>
        <r>
          <rPr>
            <b/>
            <sz val="9"/>
            <color indexed="81"/>
            <rFont val="Tahoma"/>
            <family val="2"/>
          </rPr>
          <t>Task Description</t>
        </r>
        <r>
          <rPr>
            <sz val="9"/>
            <color indexed="81"/>
            <rFont val="Tahoma"/>
            <family val="2"/>
          </rPr>
          <t xml:space="preserve">
Enter the name of each task and sub-task. Use indents for sub-tasks.</t>
        </r>
      </text>
    </comment>
    <comment ref="C7" authorId="0" shapeId="0" xr:uid="{22BE1652-0CBB-48CA-BCAC-68EE76A6A661}">
      <text>
        <r>
          <rPr>
            <b/>
            <sz val="9"/>
            <color indexed="81"/>
            <rFont val="Tahoma"/>
            <family val="2"/>
          </rPr>
          <t>Task Lead</t>
        </r>
        <r>
          <rPr>
            <sz val="9"/>
            <color indexed="81"/>
            <rFont val="Tahoma"/>
            <family val="2"/>
          </rPr>
          <t xml:space="preserve">
Enter the name of the Task Lead in this column.</t>
        </r>
      </text>
    </comment>
    <comment ref="D7" authorId="0" shapeId="0" xr:uid="{45ED21A9-71FD-4B12-93B7-16E638982CCE}">
      <text>
        <r>
          <rPr>
            <b/>
            <sz val="9"/>
            <color indexed="81"/>
            <rFont val="Tahoma"/>
            <family val="2"/>
          </rPr>
          <t xml:space="preserve">Predecessor Tasks:
</t>
        </r>
        <r>
          <rPr>
            <sz val="9"/>
            <color indexed="81"/>
            <rFont val="Tahoma"/>
            <family val="2"/>
          </rPr>
          <t>You can use this column to enter the WBS of a predecessor for reference. The PRO version uses formulas to automatically calculate the Start Date based on the Predecessor.</t>
        </r>
      </text>
    </comment>
    <comment ref="E7" authorId="0" shapeId="0" xr:uid="{84D12271-890D-479F-B167-423E7129BCDA}">
      <text>
        <r>
          <rPr>
            <b/>
            <sz val="9"/>
            <color indexed="81"/>
            <rFont val="Tahoma"/>
            <family val="2"/>
          </rPr>
          <t>Task Start Date</t>
        </r>
        <r>
          <rPr>
            <sz val="9"/>
            <color indexed="81"/>
            <rFont val="Tahoma"/>
            <family val="2"/>
          </rPr>
          <t xml:space="preserve">
You can manually enter the Start Date for each task or use a formula to create a dependency on a Predecessor. For example, you could enter </t>
        </r>
        <r>
          <rPr>
            <b/>
            <sz val="9"/>
            <color indexed="81"/>
            <rFont val="Tahoma"/>
            <family val="2"/>
          </rPr>
          <t>=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+1</t>
        </r>
        <r>
          <rPr>
            <sz val="9"/>
            <color indexed="81"/>
            <rFont val="Tahoma"/>
            <family val="2"/>
          </rPr>
          <t xml:space="preserve"> to set the Start date to the next calendar day, or </t>
        </r>
        <r>
          <rPr>
            <b/>
            <sz val="9"/>
            <color indexed="81"/>
            <rFont val="Tahoma"/>
            <family val="2"/>
          </rPr>
          <t>=WORKDAY(</t>
        </r>
        <r>
          <rPr>
            <b/>
            <i/>
            <sz val="9"/>
            <color indexed="81"/>
            <rFont val="Tahoma"/>
            <family val="2"/>
          </rPr>
          <t>enddate</t>
        </r>
        <r>
          <rPr>
            <b/>
            <sz val="9"/>
            <color indexed="81"/>
            <rFont val="Tahoma"/>
            <family val="2"/>
          </rPr>
          <t>,1)</t>
        </r>
        <r>
          <rPr>
            <sz val="9"/>
            <color indexed="81"/>
            <rFont val="Tahoma"/>
            <family val="2"/>
          </rPr>
          <t xml:space="preserve"> to set the Start date to the next work day (excluding weekends), where </t>
        </r>
        <r>
          <rPr>
            <i/>
            <sz val="9"/>
            <color indexed="81"/>
            <rFont val="Tahoma"/>
            <family val="2"/>
          </rPr>
          <t>enddate</t>
        </r>
        <r>
          <rPr>
            <sz val="9"/>
            <color indexed="81"/>
            <rFont val="Tahoma"/>
            <family val="2"/>
          </rPr>
          <t xml:space="preserve"> is the cell reference for the End date of the Predecessor task.</t>
        </r>
      </text>
    </comment>
    <comment ref="F7" authorId="1" shapeId="0" xr:uid="{3BB668F9-E4A3-4299-8548-0EFAF6DD3852}">
      <text>
        <r>
          <rPr>
            <b/>
            <sz val="9"/>
            <color indexed="81"/>
            <rFont val="Tahoma"/>
            <family val="2"/>
          </rPr>
          <t>End Date:</t>
        </r>
        <r>
          <rPr>
            <sz val="9"/>
            <color indexed="81"/>
            <rFont val="Tahoma"/>
            <family val="2"/>
          </rPr>
          <t xml:space="preserve">
The End Date is calculated based on the Start Date and the Calendar Days columns.</t>
        </r>
      </text>
    </comment>
    <comment ref="G7" authorId="0" shapeId="0" xr:uid="{F2EBC22E-FBED-4092-AEAE-AD0787FF5A7B}">
      <text>
        <r>
          <rPr>
            <b/>
            <sz val="9"/>
            <color indexed="81"/>
            <rFont val="Tahoma"/>
            <family val="2"/>
          </rPr>
          <t>Percent Complete</t>
        </r>
        <r>
          <rPr>
            <sz val="9"/>
            <color indexed="81"/>
            <rFont val="Tahoma"/>
            <family val="2"/>
          </rPr>
          <t xml:space="preserve">
Update the status of this task by entering the percent complete (between 0% and 100%).</t>
        </r>
      </text>
    </comment>
    <comment ref="H7" authorId="0" shapeId="0" xr:uid="{E472EB69-80C9-44D9-9C96-891C5832EE93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  <comment ref="I7" authorId="0" shapeId="0" xr:uid="{DFC4601E-1200-47DC-BF82-DC0AFEF6D0E9}">
      <text>
        <r>
          <rPr>
            <b/>
            <sz val="9"/>
            <color indexed="81"/>
            <rFont val="Tahoma"/>
            <family val="2"/>
          </rPr>
          <t>Work Days</t>
        </r>
        <r>
          <rPr>
            <sz val="9"/>
            <color indexed="81"/>
            <rFont val="Tahoma"/>
            <family val="2"/>
          </rPr>
          <t xml:space="preserve">
Counts the number of work days, excluding the weekends (Saturday and Sunday). In the PRO version, you can customize the work week and list specific non-working days like holidays. In the PRO version, the default input is the Work Days instead of the Calendar Days.</t>
        </r>
      </text>
    </comment>
  </commentList>
</comments>
</file>

<file path=xl/sharedStrings.xml><?xml version="1.0" encoding="utf-8"?>
<sst xmlns="http://schemas.openxmlformats.org/spreadsheetml/2006/main" count="63" uniqueCount="27">
  <si>
    <t xml:space="preserve">Project Lead </t>
  </si>
  <si>
    <t>START</t>
  </si>
  <si>
    <t>END</t>
  </si>
  <si>
    <t>% DONE</t>
  </si>
  <si>
    <t>BARFAS</t>
  </si>
  <si>
    <t>Burak YALIM</t>
  </si>
  <si>
    <t xml:space="preserve">Work Start Date </t>
  </si>
  <si>
    <t>HOURS</t>
  </si>
  <si>
    <t>#</t>
  </si>
  <si>
    <t>Hardware Development</t>
  </si>
  <si>
    <t>Software Development</t>
  </si>
  <si>
    <t>Service Type - Project Name</t>
  </si>
  <si>
    <t>Total Hours</t>
  </si>
  <si>
    <t>Week-1</t>
  </si>
  <si>
    <t>Week-2</t>
  </si>
  <si>
    <t>Week-3</t>
  </si>
  <si>
    <t>Week-4</t>
  </si>
  <si>
    <t>S</t>
  </si>
  <si>
    <t>M</t>
  </si>
  <si>
    <t>T</t>
  </si>
  <si>
    <t>W</t>
  </si>
  <si>
    <t>F</t>
  </si>
  <si>
    <t>Week-5</t>
  </si>
  <si>
    <t>MINUTES</t>
  </si>
  <si>
    <t>Gateway (Bluetooth)</t>
  </si>
  <si>
    <t>Duvar Tipi Access Controller</t>
  </si>
  <si>
    <t>HAZİRAN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</si>
</sst>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\ \(dddd\)"/>
    <numFmt numFmtId="165" formatCode="d\ mmm\ yyyy"/>
    <numFmt numFmtId="166" formatCode="d"/>
    <numFmt numFmtId="167" formatCode="ddd\ m/dd/yy"/>
    <numFmt numFmtId="168" formatCode="d/m/yyyy\ \(dddd\)"/>
    <numFmt numFmtId="169" formatCode="ddd\ dd/m/yy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 Light"/>
      <family val="2"/>
      <scheme val="major"/>
    </font>
    <font>
      <sz val="10"/>
      <name val="Calibri"/>
      <family val="2"/>
      <scheme val="minor"/>
    </font>
    <font>
      <sz val="10"/>
      <name val="Calibri Light"/>
      <family val="1"/>
      <scheme val="major"/>
    </font>
    <font>
      <sz val="11"/>
      <name val="Calibri"/>
      <family val="2"/>
      <scheme val="minor"/>
    </font>
    <font>
      <sz val="8"/>
      <name val="Arial"/>
      <family val="2"/>
    </font>
    <font>
      <b/>
      <sz val="9"/>
      <name val="Calibri Light"/>
      <family val="2"/>
      <scheme val="major"/>
    </font>
    <font>
      <b/>
      <sz val="8"/>
      <name val="Calibri Light"/>
      <family val="2"/>
      <scheme val="maj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2"/>
      <name val="Calibri Light"/>
      <family val="2"/>
      <charset val="162"/>
      <scheme val="major"/>
    </font>
    <font>
      <b/>
      <sz val="20"/>
      <color theme="4" tint="-0.249977111117893"/>
      <name val="Calibri Light"/>
      <family val="2"/>
      <charset val="162"/>
      <scheme val="major"/>
    </font>
    <font>
      <b/>
      <sz val="12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</fills>
  <borders count="49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10" fillId="2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10" fillId="2" borderId="6" xfId="0" applyFont="1" applyFill="1" applyBorder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167" fontId="10" fillId="2" borderId="6" xfId="0" applyNumberFormat="1" applyFont="1" applyFill="1" applyBorder="1" applyAlignment="1">
      <alignment horizontal="center" vertical="center"/>
    </xf>
    <xf numFmtId="1" fontId="10" fillId="2" borderId="6" xfId="1" applyNumberFormat="1" applyFont="1" applyFill="1" applyBorder="1" applyAlignment="1" applyProtection="1">
      <alignment horizontal="center" vertical="center"/>
    </xf>
    <xf numFmtId="0" fontId="3" fillId="0" borderId="2" xfId="0" applyFont="1" applyBorder="1"/>
    <xf numFmtId="0" fontId="3" fillId="0" borderId="2" xfId="0" applyFont="1" applyBorder="1" applyAlignment="1">
      <alignment horizontal="right" vertical="center"/>
    </xf>
    <xf numFmtId="0" fontId="5" fillId="0" borderId="2" xfId="0" applyFont="1" applyBorder="1"/>
    <xf numFmtId="0" fontId="13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10" fillId="0" borderId="11" xfId="0" applyFont="1" applyFill="1" applyBorder="1" applyAlignment="1">
      <alignment horizontal="left" vertical="center"/>
    </xf>
    <xf numFmtId="167" fontId="10" fillId="2" borderId="6" xfId="0" applyNumberFormat="1" applyFont="1" applyFill="1" applyBorder="1" applyAlignment="1">
      <alignment horizontal="right" vertical="center"/>
    </xf>
    <xf numFmtId="0" fontId="3" fillId="0" borderId="19" xfId="0" applyFont="1" applyBorder="1"/>
    <xf numFmtId="0" fontId="5" fillId="0" borderId="19" xfId="0" applyFont="1" applyBorder="1"/>
    <xf numFmtId="0" fontId="10" fillId="0" borderId="22" xfId="0" applyFont="1" applyBorder="1" applyAlignment="1">
      <alignment horizontal="left" vertical="center"/>
    </xf>
    <xf numFmtId="0" fontId="10" fillId="0" borderId="23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3" fillId="0" borderId="8" xfId="0" applyFont="1" applyBorder="1"/>
    <xf numFmtId="0" fontId="8" fillId="0" borderId="12" xfId="0" applyFont="1" applyBorder="1" applyAlignment="1">
      <alignment horizontal="center" vertical="center" wrapText="1"/>
    </xf>
    <xf numFmtId="0" fontId="5" fillId="2" borderId="28" xfId="0" applyFont="1" applyFill="1" applyBorder="1"/>
    <xf numFmtId="1" fontId="22" fillId="2" borderId="4" xfId="0" applyNumberFormat="1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11" xfId="0" applyFont="1" applyBorder="1" applyAlignment="1">
      <alignment horizontal="right" vertical="center"/>
    </xf>
    <xf numFmtId="0" fontId="3" fillId="0" borderId="11" xfId="0" applyFont="1" applyBorder="1"/>
    <xf numFmtId="0" fontId="4" fillId="0" borderId="11" xfId="0" applyFont="1" applyBorder="1" applyAlignment="1" applyProtection="1">
      <alignment horizontal="center" vertical="center"/>
      <protection locked="0"/>
    </xf>
    <xf numFmtId="0" fontId="2" fillId="0" borderId="14" xfId="0" applyFont="1" applyBorder="1"/>
    <xf numFmtId="169" fontId="13" fillId="0" borderId="11" xfId="0" applyNumberFormat="1" applyFont="1" applyBorder="1" applyAlignment="1">
      <alignment horizontal="center" vertical="center"/>
    </xf>
    <xf numFmtId="169" fontId="13" fillId="3" borderId="2" xfId="0" applyNumberFormat="1" applyFont="1" applyFill="1" applyBorder="1" applyAlignment="1">
      <alignment horizontal="center" vertical="center"/>
    </xf>
    <xf numFmtId="169" fontId="13" fillId="0" borderId="2" xfId="0" applyNumberFormat="1" applyFont="1" applyBorder="1" applyAlignment="1">
      <alignment horizontal="center" vertical="center"/>
    </xf>
    <xf numFmtId="169" fontId="13" fillId="0" borderId="10" xfId="0" applyNumberFormat="1" applyFont="1" applyBorder="1" applyAlignment="1">
      <alignment horizontal="center" vertical="center"/>
    </xf>
    <xf numFmtId="0" fontId="5" fillId="2" borderId="31" xfId="0" applyFont="1" applyFill="1" applyBorder="1"/>
    <xf numFmtId="166" fontId="7" fillId="0" borderId="19" xfId="0" applyNumberFormat="1" applyFont="1" applyBorder="1" applyAlignment="1">
      <alignment horizontal="center" vertical="center" shrinkToFit="1"/>
    </xf>
    <xf numFmtId="0" fontId="10" fillId="2" borderId="5" xfId="0" applyFont="1" applyFill="1" applyBorder="1" applyAlignment="1">
      <alignment horizontal="left" vertical="center"/>
    </xf>
    <xf numFmtId="0" fontId="10" fillId="0" borderId="22" xfId="0" applyFont="1" applyFill="1" applyBorder="1" applyAlignment="1">
      <alignment horizontal="left" vertical="center"/>
    </xf>
    <xf numFmtId="0" fontId="10" fillId="0" borderId="23" xfId="0" applyFont="1" applyFill="1" applyBorder="1" applyAlignment="1">
      <alignment horizontal="left" vertical="center"/>
    </xf>
    <xf numFmtId="9" fontId="13" fillId="4" borderId="14" xfId="1" applyFont="1" applyFill="1" applyBorder="1" applyAlignment="1" applyProtection="1">
      <alignment horizontal="center" vertical="center"/>
    </xf>
    <xf numFmtId="9" fontId="13" fillId="4" borderId="8" xfId="1" applyFont="1" applyFill="1" applyBorder="1" applyAlignment="1" applyProtection="1">
      <alignment horizontal="center" vertical="center"/>
    </xf>
    <xf numFmtId="0" fontId="5" fillId="0" borderId="10" xfId="0" applyFont="1" applyBorder="1"/>
    <xf numFmtId="0" fontId="8" fillId="0" borderId="33" xfId="0" applyFont="1" applyBorder="1" applyAlignment="1">
      <alignment horizontal="center" vertical="center" wrapText="1"/>
    </xf>
    <xf numFmtId="9" fontId="10" fillId="2" borderId="28" xfId="1" applyFont="1" applyFill="1" applyBorder="1" applyAlignment="1" applyProtection="1">
      <alignment horizontal="center" vertical="center"/>
    </xf>
    <xf numFmtId="1" fontId="13" fillId="0" borderId="34" xfId="0" applyNumberFormat="1" applyFont="1" applyBorder="1" applyAlignment="1">
      <alignment horizontal="center" vertical="center"/>
    </xf>
    <xf numFmtId="9" fontId="10" fillId="2" borderId="29" xfId="1" applyFont="1" applyFill="1" applyBorder="1" applyAlignment="1" applyProtection="1">
      <alignment horizontal="center" vertical="center"/>
    </xf>
    <xf numFmtId="1" fontId="13" fillId="0" borderId="35" xfId="0" applyNumberFormat="1" applyFont="1" applyBorder="1" applyAlignment="1">
      <alignment horizontal="center" vertical="center"/>
    </xf>
    <xf numFmtId="1" fontId="13" fillId="0" borderId="36" xfId="0" applyNumberFormat="1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wrapText="1"/>
    </xf>
    <xf numFmtId="1" fontId="14" fillId="2" borderId="17" xfId="0" applyNumberFormat="1" applyFont="1" applyFill="1" applyBorder="1" applyAlignment="1">
      <alignment horizontal="center" vertical="center"/>
    </xf>
    <xf numFmtId="1" fontId="14" fillId="2" borderId="0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center" vertical="center"/>
    </xf>
    <xf numFmtId="0" fontId="5" fillId="0" borderId="12" xfId="0" applyFont="1" applyBorder="1"/>
    <xf numFmtId="1" fontId="10" fillId="2" borderId="4" xfId="0" applyNumberFormat="1" applyFont="1" applyFill="1" applyBorder="1" applyAlignment="1">
      <alignment horizontal="center" vertical="center"/>
    </xf>
    <xf numFmtId="1" fontId="10" fillId="0" borderId="37" xfId="0" applyNumberFormat="1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10" fillId="0" borderId="16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8" fillId="0" borderId="27" xfId="0" applyFont="1" applyBorder="1" applyAlignment="1">
      <alignment horizontal="left" vertical="center"/>
    </xf>
    <xf numFmtId="0" fontId="11" fillId="2" borderId="4" xfId="0" applyFont="1" applyFill="1" applyBorder="1" applyAlignment="1">
      <alignment vertical="center"/>
    </xf>
    <xf numFmtId="0" fontId="10" fillId="0" borderId="29" xfId="0" applyFont="1" applyBorder="1" applyAlignment="1">
      <alignment vertical="center" wrapText="1"/>
    </xf>
    <xf numFmtId="0" fontId="11" fillId="2" borderId="5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2" borderId="30" xfId="0" applyFont="1" applyFill="1" applyBorder="1" applyAlignment="1">
      <alignment horizontal="left" vertical="center"/>
    </xf>
    <xf numFmtId="0" fontId="10" fillId="2" borderId="17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43" xfId="0" applyFont="1" applyBorder="1" applyAlignment="1">
      <alignment vertical="center"/>
    </xf>
    <xf numFmtId="1" fontId="12" fillId="2" borderId="4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6" borderId="0" xfId="0" applyFill="1" applyBorder="1"/>
    <xf numFmtId="166" fontId="7" fillId="6" borderId="0" xfId="0" applyNumberFormat="1" applyFont="1" applyFill="1" applyBorder="1" applyAlignment="1">
      <alignment horizontal="center" vertical="center" shrinkToFit="1"/>
    </xf>
    <xf numFmtId="0" fontId="10" fillId="6" borderId="0" xfId="0" applyFont="1" applyFill="1" applyBorder="1" applyAlignment="1">
      <alignment horizontal="center" vertical="center" shrinkToFit="1"/>
    </xf>
    <xf numFmtId="0" fontId="2" fillId="6" borderId="0" xfId="0" applyFont="1" applyFill="1" applyBorder="1"/>
    <xf numFmtId="0" fontId="10" fillId="6" borderId="0" xfId="0" applyFont="1" applyFill="1" applyBorder="1" applyAlignment="1">
      <alignment horizontal="left" vertical="center"/>
    </xf>
    <xf numFmtId="0" fontId="10" fillId="6" borderId="0" xfId="0" applyFont="1" applyFill="1" applyBorder="1" applyAlignment="1">
      <alignment vertical="center"/>
    </xf>
    <xf numFmtId="0" fontId="10" fillId="0" borderId="42" xfId="0" applyFont="1" applyFill="1" applyBorder="1" applyAlignment="1">
      <alignment horizontal="left" vertical="center"/>
    </xf>
    <xf numFmtId="0" fontId="10" fillId="0" borderId="41" xfId="0" applyFont="1" applyFill="1" applyBorder="1" applyAlignment="1">
      <alignment horizontal="left" vertical="center"/>
    </xf>
    <xf numFmtId="0" fontId="10" fillId="0" borderId="40" xfId="0" applyFont="1" applyFill="1" applyBorder="1" applyAlignment="1">
      <alignment horizontal="left" vertical="center"/>
    </xf>
    <xf numFmtId="0" fontId="10" fillId="0" borderId="41" xfId="0" applyFont="1" applyFill="1" applyBorder="1" applyAlignment="1">
      <alignment vertical="center"/>
    </xf>
    <xf numFmtId="0" fontId="10" fillId="0" borderId="21" xfId="0" applyFont="1" applyFill="1" applyBorder="1" applyAlignment="1">
      <alignment horizontal="left" vertical="center"/>
    </xf>
    <xf numFmtId="0" fontId="10" fillId="0" borderId="19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vertical="center"/>
    </xf>
    <xf numFmtId="0" fontId="10" fillId="2" borderId="24" xfId="0" applyFont="1" applyFill="1" applyBorder="1" applyAlignment="1">
      <alignment horizontal="left" vertical="center"/>
    </xf>
    <xf numFmtId="0" fontId="10" fillId="2" borderId="25" xfId="0" applyFont="1" applyFill="1" applyBorder="1" applyAlignment="1">
      <alignment horizontal="left" vertical="center"/>
    </xf>
    <xf numFmtId="0" fontId="10" fillId="0" borderId="47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horizontal="left" vertical="center"/>
    </xf>
    <xf numFmtId="0" fontId="10" fillId="0" borderId="8" xfId="0" applyFont="1" applyFill="1" applyBorder="1" applyAlignment="1">
      <alignment vertical="center"/>
    </xf>
    <xf numFmtId="0" fontId="10" fillId="5" borderId="45" xfId="0" applyFont="1" applyFill="1" applyBorder="1" applyAlignment="1">
      <alignment horizontal="left" vertical="center"/>
    </xf>
    <xf numFmtId="0" fontId="10" fillId="0" borderId="44" xfId="0" applyFont="1" applyBorder="1" applyAlignment="1">
      <alignment horizontal="center" vertical="center" shrinkToFit="1"/>
    </xf>
    <xf numFmtId="0" fontId="10" fillId="0" borderId="45" xfId="0" applyFont="1" applyBorder="1" applyAlignment="1">
      <alignment horizontal="center" vertical="center" shrinkToFit="1"/>
    </xf>
    <xf numFmtId="0" fontId="10" fillId="0" borderId="46" xfId="0" applyFont="1" applyBorder="1" applyAlignment="1">
      <alignment horizontal="center" vertical="center" shrinkToFit="1"/>
    </xf>
    <xf numFmtId="166" fontId="7" fillId="0" borderId="41" xfId="0" applyNumberFormat="1" applyFont="1" applyBorder="1" applyAlignment="1">
      <alignment horizontal="center" vertical="center" shrinkToFit="1"/>
    </xf>
    <xf numFmtId="166" fontId="7" fillId="0" borderId="42" xfId="0" applyNumberFormat="1" applyFont="1" applyBorder="1" applyAlignment="1">
      <alignment horizontal="center" vertical="center" shrinkToFit="1"/>
    </xf>
    <xf numFmtId="165" fontId="4" fillId="6" borderId="0" xfId="0" applyNumberFormat="1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21" fillId="0" borderId="30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24" xfId="0" applyFont="1" applyBorder="1" applyAlignment="1" applyProtection="1">
      <alignment horizontal="center" vertical="center" wrapText="1"/>
      <protection locked="0"/>
    </xf>
    <xf numFmtId="0" fontId="21" fillId="0" borderId="25" xfId="0" applyFont="1" applyBorder="1" applyAlignment="1" applyProtection="1">
      <alignment horizontal="center" vertical="center" wrapText="1"/>
      <protection locked="0"/>
    </xf>
    <xf numFmtId="0" fontId="21" fillId="0" borderId="26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/>
      <protection locked="0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164" fontId="4" fillId="0" borderId="2" xfId="0" applyNumberFormat="1" applyFont="1" applyBorder="1" applyAlignment="1" applyProtection="1">
      <alignment horizontal="center" vertical="center" shrinkToFit="1"/>
      <protection locked="0"/>
    </xf>
    <xf numFmtId="168" fontId="4" fillId="0" borderId="11" xfId="0" applyNumberFormat="1" applyFont="1" applyBorder="1" applyAlignment="1" applyProtection="1">
      <alignment horizontal="center" vertical="center" shrinkToFit="1"/>
      <protection locked="0"/>
    </xf>
    <xf numFmtId="49" fontId="21" fillId="0" borderId="30" xfId="0" applyNumberFormat="1" applyFont="1" applyBorder="1" applyAlignment="1" applyProtection="1">
      <alignment horizontal="center" vertical="center" wrapText="1"/>
      <protection locked="0"/>
    </xf>
    <xf numFmtId="49" fontId="21" fillId="0" borderId="17" xfId="0" applyNumberFormat="1" applyFont="1" applyBorder="1" applyAlignment="1" applyProtection="1">
      <alignment horizontal="center" vertical="center" wrapText="1"/>
      <protection locked="0"/>
    </xf>
    <xf numFmtId="49" fontId="21" fillId="0" borderId="31" xfId="0" applyNumberFormat="1" applyFont="1" applyBorder="1" applyAlignment="1" applyProtection="1">
      <alignment horizontal="center" vertical="center" wrapText="1"/>
      <protection locked="0"/>
    </xf>
    <xf numFmtId="49" fontId="21" fillId="0" borderId="0" xfId="0" applyNumberFormat="1" applyFont="1" applyBorder="1" applyAlignment="1" applyProtection="1">
      <alignment horizontal="center" vertical="center" wrapText="1"/>
      <protection locked="0"/>
    </xf>
    <xf numFmtId="49" fontId="21" fillId="0" borderId="24" xfId="0" applyNumberFormat="1" applyFont="1" applyBorder="1" applyAlignment="1" applyProtection="1">
      <alignment horizontal="center" vertical="center" wrapText="1"/>
      <protection locked="0"/>
    </xf>
    <xf numFmtId="49" fontId="21" fillId="0" borderId="25" xfId="0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Yüzde" xfId="1" builtinId="5"/>
  </cellStyles>
  <dxfs count="244"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05"/>
  <sheetViews>
    <sheetView tabSelected="1" workbookViewId="0">
      <selection activeCell="D7" sqref="D7"/>
    </sheetView>
  </sheetViews>
  <sheetFormatPr defaultColWidth="9.140625" defaultRowHeight="15" x14ac:dyDescent="0.25"/>
  <cols>
    <col min="1" max="1" width="6.85546875" customWidth="1"/>
    <col min="2" max="2" width="25.140625" bestFit="1" customWidth="1"/>
    <col min="3" max="3" width="7.7109375" customWidth="1"/>
    <col min="4" max="4" width="6.85546875" customWidth="1"/>
    <col min="5" max="6" width="12" customWidth="1"/>
    <col min="7" max="7" width="11.42578125" bestFit="1" customWidth="1"/>
    <col min="8" max="8" width="12.85546875" customWidth="1"/>
    <col min="9" max="9" width="8.5703125" bestFit="1" customWidth="1"/>
    <col min="10" max="10" width="1.85546875" customWidth="1"/>
    <col min="11" max="38" width="3.28515625" customWidth="1"/>
    <col min="39" max="39" width="4.42578125" customWidth="1"/>
    <col min="40" max="45" width="3.28515625" customWidth="1"/>
    <col min="46" max="60" width="9" customWidth="1"/>
  </cols>
  <sheetData>
    <row r="1" spans="1:65" ht="26.25" customHeight="1" x14ac:dyDescent="0.25">
      <c r="A1" s="122" t="s">
        <v>4</v>
      </c>
      <c r="B1" s="123"/>
      <c r="C1" s="123"/>
      <c r="D1" s="123"/>
      <c r="E1" s="123"/>
      <c r="F1" s="123"/>
      <c r="G1" s="123"/>
      <c r="H1" s="123"/>
      <c r="I1" s="124"/>
      <c r="J1" s="33"/>
      <c r="K1" s="133" t="s">
        <v>26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3"/>
    </row>
    <row r="2" spans="1:65" ht="15.75" customHeight="1" thickBot="1" x14ac:dyDescent="0.3">
      <c r="A2" s="125"/>
      <c r="B2" s="126"/>
      <c r="C2" s="126"/>
      <c r="D2" s="126"/>
      <c r="E2" s="126"/>
      <c r="F2" s="126"/>
      <c r="G2" s="126"/>
      <c r="H2" s="126"/>
      <c r="I2" s="127"/>
      <c r="J2" s="33"/>
      <c r="K2" s="135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83"/>
      <c r="BE2" s="83"/>
      <c r="BF2" s="83"/>
      <c r="BG2" s="83"/>
      <c r="BH2" s="83"/>
      <c r="BI2" s="83"/>
      <c r="BJ2" s="83"/>
      <c r="BK2" s="83"/>
      <c r="BL2" s="83"/>
      <c r="BM2" s="83"/>
    </row>
    <row r="3" spans="1:65" ht="15.75" customHeight="1" thickBot="1" x14ac:dyDescent="0.3">
      <c r="A3" s="128" t="s">
        <v>5</v>
      </c>
      <c r="B3" s="129"/>
      <c r="C3" s="129"/>
      <c r="D3" s="129"/>
      <c r="E3" s="129"/>
      <c r="F3" s="129"/>
      <c r="G3" s="129"/>
      <c r="H3" s="129"/>
      <c r="I3" s="130"/>
      <c r="J3" s="33"/>
      <c r="K3" s="137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83"/>
      <c r="BE3" s="83"/>
      <c r="BF3" s="83"/>
      <c r="BG3" s="83"/>
      <c r="BH3" s="83"/>
      <c r="BI3" s="83"/>
      <c r="BJ3" s="83"/>
      <c r="BK3" s="83"/>
      <c r="BL3" s="83"/>
      <c r="BM3" s="83"/>
    </row>
    <row r="4" spans="1:65" x14ac:dyDescent="0.25">
      <c r="A4" s="35"/>
      <c r="B4" s="36" t="s">
        <v>6</v>
      </c>
      <c r="C4" s="132">
        <v>46175</v>
      </c>
      <c r="D4" s="132"/>
      <c r="E4" s="132"/>
      <c r="F4" s="37"/>
      <c r="G4" s="36"/>
      <c r="H4" s="38"/>
      <c r="I4" s="39"/>
      <c r="J4" s="44"/>
      <c r="K4" s="109" t="s">
        <v>13</v>
      </c>
      <c r="L4" s="110"/>
      <c r="M4" s="110"/>
      <c r="N4" s="110"/>
      <c r="O4" s="110"/>
      <c r="P4" s="110"/>
      <c r="Q4" s="111"/>
      <c r="R4" s="110" t="s">
        <v>14</v>
      </c>
      <c r="S4" s="110"/>
      <c r="T4" s="110"/>
      <c r="U4" s="110"/>
      <c r="V4" s="110"/>
      <c r="W4" s="110"/>
      <c r="X4" s="111"/>
      <c r="Y4" s="109" t="s">
        <v>15</v>
      </c>
      <c r="Z4" s="110"/>
      <c r="AA4" s="110"/>
      <c r="AB4" s="110"/>
      <c r="AC4" s="110"/>
      <c r="AD4" s="110"/>
      <c r="AE4" s="111"/>
      <c r="AF4" s="109" t="s">
        <v>16</v>
      </c>
      <c r="AG4" s="110"/>
      <c r="AH4" s="110"/>
      <c r="AI4" s="110"/>
      <c r="AJ4" s="110"/>
      <c r="AK4" s="110"/>
      <c r="AL4" s="111"/>
      <c r="AM4" s="109" t="s">
        <v>22</v>
      </c>
      <c r="AN4" s="110"/>
      <c r="AO4" s="110"/>
      <c r="AP4" s="110"/>
      <c r="AQ4" s="110"/>
      <c r="AR4" s="110"/>
      <c r="AS4" s="111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83"/>
      <c r="BI4" s="83"/>
      <c r="BJ4" s="83"/>
      <c r="BK4" s="83"/>
      <c r="BL4" s="83"/>
      <c r="BM4" s="83"/>
    </row>
    <row r="5" spans="1:65" ht="15.75" thickBot="1" x14ac:dyDescent="0.3">
      <c r="A5" s="26"/>
      <c r="B5" s="11" t="s">
        <v>0</v>
      </c>
      <c r="C5" s="131"/>
      <c r="D5" s="131"/>
      <c r="E5" s="131"/>
      <c r="F5" s="10"/>
      <c r="G5" s="10"/>
      <c r="H5" s="10"/>
      <c r="I5" s="31"/>
      <c r="J5" s="44"/>
      <c r="K5" s="119"/>
      <c r="L5" s="120"/>
      <c r="M5" s="120"/>
      <c r="N5" s="120"/>
      <c r="O5" s="120"/>
      <c r="P5" s="120"/>
      <c r="Q5" s="121"/>
      <c r="R5" s="113"/>
      <c r="S5" s="113"/>
      <c r="T5" s="113"/>
      <c r="U5" s="113"/>
      <c r="V5" s="113"/>
      <c r="W5" s="113"/>
      <c r="X5" s="114"/>
      <c r="Y5" s="112"/>
      <c r="Z5" s="113"/>
      <c r="AA5" s="113"/>
      <c r="AB5" s="113"/>
      <c r="AC5" s="113"/>
      <c r="AD5" s="113"/>
      <c r="AE5" s="114"/>
      <c r="AF5" s="112"/>
      <c r="AG5" s="113"/>
      <c r="AH5" s="113"/>
      <c r="AI5" s="113"/>
      <c r="AJ5" s="113"/>
      <c r="AK5" s="113"/>
      <c r="AL5" s="114"/>
      <c r="AM5" s="112"/>
      <c r="AN5" s="113"/>
      <c r="AO5" s="113"/>
      <c r="AP5" s="113"/>
      <c r="AQ5" s="113"/>
      <c r="AR5" s="113"/>
      <c r="AS5" s="114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7"/>
      <c r="BF5" s="107"/>
      <c r="BG5" s="107"/>
      <c r="BH5" s="83"/>
      <c r="BI5" s="83"/>
      <c r="BJ5" s="83"/>
      <c r="BK5" s="83"/>
      <c r="BL5" s="83"/>
      <c r="BM5" s="83"/>
    </row>
    <row r="6" spans="1:65" ht="15.75" thickBot="1" x14ac:dyDescent="0.3">
      <c r="A6" s="27"/>
      <c r="B6" s="51"/>
      <c r="C6" s="12"/>
      <c r="D6" s="12"/>
      <c r="E6" s="12"/>
      <c r="F6" s="12"/>
      <c r="G6" s="12"/>
      <c r="H6" s="51"/>
      <c r="I6" s="62"/>
      <c r="J6" s="44"/>
      <c r="K6" s="45">
        <v>1</v>
      </c>
      <c r="L6" s="45">
        <v>2</v>
      </c>
      <c r="M6" s="45">
        <v>3</v>
      </c>
      <c r="N6" s="45">
        <v>4</v>
      </c>
      <c r="O6" s="45">
        <v>5</v>
      </c>
      <c r="P6" s="45">
        <v>6</v>
      </c>
      <c r="Q6" s="45">
        <v>7</v>
      </c>
      <c r="R6" s="45">
        <v>8</v>
      </c>
      <c r="S6" s="45">
        <v>9</v>
      </c>
      <c r="T6" s="45">
        <v>10</v>
      </c>
      <c r="U6" s="45">
        <v>11</v>
      </c>
      <c r="V6" s="45">
        <v>12</v>
      </c>
      <c r="W6" s="45">
        <v>13</v>
      </c>
      <c r="X6" s="45">
        <v>14</v>
      </c>
      <c r="Y6" s="45">
        <v>15</v>
      </c>
      <c r="Z6" s="45">
        <v>16</v>
      </c>
      <c r="AA6" s="45">
        <v>17</v>
      </c>
      <c r="AB6" s="45">
        <v>18</v>
      </c>
      <c r="AC6" s="45">
        <v>19</v>
      </c>
      <c r="AD6" s="45">
        <v>20</v>
      </c>
      <c r="AE6" s="45">
        <v>21</v>
      </c>
      <c r="AF6" s="45">
        <v>22</v>
      </c>
      <c r="AG6" s="45">
        <v>23</v>
      </c>
      <c r="AH6" s="45">
        <v>24</v>
      </c>
      <c r="AI6" s="45">
        <v>25</v>
      </c>
      <c r="AJ6" s="45">
        <v>26</v>
      </c>
      <c r="AK6" s="45">
        <v>27</v>
      </c>
      <c r="AL6" s="45">
        <v>28</v>
      </c>
      <c r="AM6" s="45">
        <v>29</v>
      </c>
      <c r="AN6" s="45">
        <v>30</v>
      </c>
      <c r="AO6" s="105"/>
      <c r="AP6" s="105"/>
      <c r="AQ6" s="105"/>
      <c r="AR6" s="105"/>
      <c r="AS6" s="106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3"/>
      <c r="BI6" s="83"/>
      <c r="BJ6" s="83"/>
      <c r="BK6" s="83"/>
      <c r="BL6" s="83"/>
      <c r="BM6" s="83"/>
    </row>
    <row r="7" spans="1:65" s="1" customFormat="1" ht="18.75" customHeight="1" thickBot="1" x14ac:dyDescent="0.25">
      <c r="A7" s="65"/>
      <c r="B7" s="70" t="s">
        <v>11</v>
      </c>
      <c r="C7" s="66"/>
      <c r="D7" s="22"/>
      <c r="E7" s="23" t="s">
        <v>1</v>
      </c>
      <c r="F7" s="23" t="s">
        <v>2</v>
      </c>
      <c r="G7" s="32" t="s">
        <v>3</v>
      </c>
      <c r="H7" s="52" t="s">
        <v>7</v>
      </c>
      <c r="I7" s="52" t="s">
        <v>23</v>
      </c>
      <c r="J7" s="58"/>
      <c r="K7" s="102" t="s">
        <v>18</v>
      </c>
      <c r="L7" s="103" t="s">
        <v>19</v>
      </c>
      <c r="M7" s="103" t="s">
        <v>20</v>
      </c>
      <c r="N7" s="103" t="s">
        <v>19</v>
      </c>
      <c r="O7" s="103" t="s">
        <v>21</v>
      </c>
      <c r="P7" s="103" t="s">
        <v>17</v>
      </c>
      <c r="Q7" s="104" t="s">
        <v>17</v>
      </c>
      <c r="R7" s="102" t="s">
        <v>18</v>
      </c>
      <c r="S7" s="103" t="s">
        <v>19</v>
      </c>
      <c r="T7" s="103" t="s">
        <v>20</v>
      </c>
      <c r="U7" s="103" t="s">
        <v>19</v>
      </c>
      <c r="V7" s="103" t="s">
        <v>21</v>
      </c>
      <c r="W7" s="103" t="s">
        <v>17</v>
      </c>
      <c r="X7" s="104" t="s">
        <v>17</v>
      </c>
      <c r="Y7" s="102" t="s">
        <v>18</v>
      </c>
      <c r="Z7" s="103" t="s">
        <v>19</v>
      </c>
      <c r="AA7" s="103" t="s">
        <v>20</v>
      </c>
      <c r="AB7" s="103" t="s">
        <v>19</v>
      </c>
      <c r="AC7" s="103" t="s">
        <v>21</v>
      </c>
      <c r="AD7" s="103" t="s">
        <v>17</v>
      </c>
      <c r="AE7" s="104" t="s">
        <v>17</v>
      </c>
      <c r="AF7" s="102" t="s">
        <v>18</v>
      </c>
      <c r="AG7" s="103" t="s">
        <v>19</v>
      </c>
      <c r="AH7" s="103" t="s">
        <v>20</v>
      </c>
      <c r="AI7" s="103" t="s">
        <v>19</v>
      </c>
      <c r="AJ7" s="103" t="s">
        <v>21</v>
      </c>
      <c r="AK7" s="103" t="s">
        <v>17</v>
      </c>
      <c r="AL7" s="104" t="s">
        <v>17</v>
      </c>
      <c r="AM7" s="102" t="s">
        <v>18</v>
      </c>
      <c r="AN7" s="103" t="s">
        <v>19</v>
      </c>
      <c r="AO7" s="103"/>
      <c r="AP7" s="103"/>
      <c r="AQ7" s="103"/>
      <c r="AR7" s="103"/>
      <c r="AS7" s="104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6"/>
      <c r="BI7" s="86"/>
      <c r="BJ7" s="86"/>
      <c r="BK7" s="86"/>
      <c r="BL7" s="86"/>
      <c r="BM7" s="86"/>
    </row>
    <row r="8" spans="1:65" s="2" customFormat="1" ht="19.5" thickBot="1" x14ac:dyDescent="0.3">
      <c r="A8" s="73" t="s">
        <v>8</v>
      </c>
      <c r="B8" s="71" t="s">
        <v>9</v>
      </c>
      <c r="C8" s="6"/>
      <c r="D8" s="7"/>
      <c r="E8" s="25"/>
      <c r="F8" s="8" t="str">
        <f>IF(ISBLANK(E8)," - ",IF(G8=0,E8,E8+G8-1))</f>
        <v xml:space="preserve"> - </v>
      </c>
      <c r="G8" s="9"/>
      <c r="H8" s="53"/>
      <c r="I8" s="63" t="str">
        <f t="shared" ref="I8:I10" si="0">IF(OR(F8=0,E8=0)," - ",NETWORKDAYS(E8,F8))</f>
        <v xml:space="preserve"> - </v>
      </c>
      <c r="J8" s="19"/>
      <c r="K8" s="46"/>
      <c r="L8" s="20"/>
      <c r="M8" s="20"/>
      <c r="N8" s="20"/>
      <c r="O8" s="20"/>
      <c r="P8" s="20"/>
      <c r="Q8" s="21"/>
      <c r="R8" s="46"/>
      <c r="S8" s="20"/>
      <c r="T8" s="20"/>
      <c r="U8" s="20"/>
      <c r="V8" s="20"/>
      <c r="W8" s="20"/>
      <c r="X8" s="21"/>
      <c r="Y8" s="46"/>
      <c r="Z8" s="20"/>
      <c r="AA8" s="20"/>
      <c r="AB8" s="20"/>
      <c r="AC8" s="20"/>
      <c r="AD8" s="20"/>
      <c r="AE8" s="21"/>
      <c r="AF8" s="46"/>
      <c r="AG8" s="20"/>
      <c r="AH8" s="20"/>
      <c r="AI8" s="20"/>
      <c r="AJ8" s="20"/>
      <c r="AK8" s="20"/>
      <c r="AL8" s="21"/>
      <c r="AM8" s="46"/>
      <c r="AN8" s="20"/>
      <c r="AO8" s="20"/>
      <c r="AP8" s="20"/>
      <c r="AQ8" s="20"/>
      <c r="AR8" s="20"/>
      <c r="AS8" s="21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8"/>
      <c r="BI8" s="88"/>
      <c r="BJ8" s="88"/>
      <c r="BK8" s="88"/>
      <c r="BL8" s="88"/>
      <c r="BM8" s="88"/>
    </row>
    <row r="9" spans="1:65" s="3" customFormat="1" ht="19.5" thickBot="1" x14ac:dyDescent="0.3">
      <c r="A9" s="74">
        <v>1</v>
      </c>
      <c r="B9" s="72" t="s">
        <v>24</v>
      </c>
      <c r="C9" s="67"/>
      <c r="D9" s="17"/>
      <c r="E9" s="41">
        <v>46181</v>
      </c>
      <c r="F9" s="40"/>
      <c r="G9" s="49"/>
      <c r="H9" s="54">
        <v>4</v>
      </c>
      <c r="I9" s="64">
        <v>50</v>
      </c>
      <c r="J9" s="59"/>
      <c r="K9" s="47"/>
      <c r="L9" s="24"/>
      <c r="M9" s="24"/>
      <c r="N9" s="24"/>
      <c r="O9" s="24"/>
      <c r="P9" s="24"/>
      <c r="Q9" s="80"/>
      <c r="R9" s="101"/>
      <c r="S9" s="24"/>
      <c r="T9" s="24"/>
      <c r="U9" s="24"/>
      <c r="V9" s="24"/>
      <c r="W9" s="24"/>
      <c r="X9" s="48"/>
      <c r="Y9" s="24"/>
      <c r="Z9" s="24"/>
      <c r="AB9" s="24"/>
      <c r="AC9" s="24"/>
      <c r="AD9" s="24"/>
      <c r="AE9" s="29"/>
      <c r="AF9" s="28"/>
      <c r="AG9" s="16"/>
      <c r="AH9" s="16"/>
      <c r="AI9" s="16"/>
      <c r="AJ9" s="16"/>
      <c r="AK9" s="16"/>
      <c r="AL9" s="29"/>
      <c r="AM9" s="28"/>
      <c r="AN9" s="16"/>
      <c r="AO9" s="24"/>
      <c r="AQ9" s="16"/>
      <c r="AR9" s="16"/>
      <c r="AS9" s="29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8"/>
      <c r="BI9" s="88"/>
      <c r="BJ9" s="88"/>
      <c r="BK9" s="88"/>
      <c r="BL9" s="88"/>
      <c r="BM9" s="88"/>
    </row>
    <row r="10" spans="1:65" s="2" customFormat="1" ht="19.5" thickBot="1" x14ac:dyDescent="0.3">
      <c r="A10" s="73" t="s">
        <v>8</v>
      </c>
      <c r="B10" s="71" t="s">
        <v>10</v>
      </c>
      <c r="C10" s="6"/>
      <c r="D10" s="7"/>
      <c r="E10" s="8"/>
      <c r="F10" s="8" t="str">
        <f t="shared" ref="F10" si="1">IF(ISBLANK(E10)," - ",IF(G10=0,E10,E10+G10-1))</f>
        <v xml:space="preserve"> - </v>
      </c>
      <c r="G10" s="9"/>
      <c r="H10" s="55"/>
      <c r="I10" s="63"/>
      <c r="J10" s="19"/>
      <c r="K10" s="76"/>
      <c r="L10" s="77"/>
      <c r="M10" s="77"/>
      <c r="N10" s="77"/>
      <c r="O10" s="77"/>
      <c r="P10" s="77"/>
      <c r="Q10" s="78"/>
      <c r="R10" s="76"/>
      <c r="S10" s="77"/>
      <c r="T10" s="77"/>
      <c r="U10" s="77"/>
      <c r="V10" s="77"/>
      <c r="W10" s="77"/>
      <c r="X10" s="78"/>
      <c r="Y10" s="76"/>
      <c r="Z10" s="77"/>
      <c r="AA10" s="77"/>
      <c r="AB10" s="77"/>
      <c r="AC10" s="77"/>
      <c r="AD10" s="77"/>
      <c r="AE10" s="78"/>
      <c r="AF10" s="76"/>
      <c r="AG10" s="77"/>
      <c r="AH10" s="77"/>
      <c r="AI10" s="77"/>
      <c r="AJ10" s="77"/>
      <c r="AK10" s="77"/>
      <c r="AL10" s="78"/>
      <c r="AM10" s="76"/>
      <c r="AN10" s="77"/>
      <c r="AO10" s="77"/>
      <c r="AP10" s="77"/>
      <c r="AQ10" s="77"/>
      <c r="AR10" s="77"/>
      <c r="AS10" s="78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8"/>
      <c r="BI10" s="88"/>
      <c r="BJ10" s="88"/>
      <c r="BK10" s="88"/>
      <c r="BL10" s="88"/>
      <c r="BM10" s="88"/>
    </row>
    <row r="11" spans="1:65" s="3" customFormat="1" ht="19.5" thickBot="1" x14ac:dyDescent="0.3">
      <c r="A11" s="74">
        <v>1</v>
      </c>
      <c r="B11" s="72" t="s">
        <v>24</v>
      </c>
      <c r="C11" s="67"/>
      <c r="D11" s="17"/>
      <c r="E11" s="41">
        <v>46175</v>
      </c>
      <c r="F11" s="40"/>
      <c r="G11" s="49"/>
      <c r="H11" s="56">
        <v>3</v>
      </c>
      <c r="I11" s="56">
        <v>40</v>
      </c>
      <c r="J11" s="59"/>
      <c r="K11" s="79"/>
      <c r="L11" s="101"/>
      <c r="M11" s="90"/>
      <c r="O11" s="90"/>
      <c r="P11" s="90"/>
      <c r="Q11" s="98"/>
      <c r="R11" s="91"/>
      <c r="S11" s="90"/>
      <c r="T11" s="90"/>
      <c r="U11" s="90"/>
      <c r="V11" s="90"/>
      <c r="W11" s="90"/>
      <c r="X11" s="98"/>
      <c r="Y11" s="91"/>
      <c r="Z11" s="92"/>
      <c r="AA11" s="90"/>
      <c r="AB11" s="90"/>
      <c r="AC11" s="90"/>
      <c r="AD11" s="90"/>
      <c r="AE11" s="98"/>
      <c r="AF11" s="91"/>
      <c r="AG11" s="90"/>
      <c r="AH11" s="90"/>
      <c r="AI11" s="90"/>
      <c r="AJ11" s="90"/>
      <c r="AK11" s="90"/>
      <c r="AL11" s="98"/>
      <c r="AM11" s="91"/>
      <c r="AN11" s="90"/>
      <c r="AO11" s="90"/>
      <c r="AP11" s="90"/>
      <c r="AQ11" s="90"/>
      <c r="AR11" s="90"/>
      <c r="AS11" s="89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8"/>
      <c r="BI11" s="88"/>
      <c r="BJ11" s="88"/>
      <c r="BK11" s="88"/>
      <c r="BL11" s="88"/>
      <c r="BM11" s="88"/>
    </row>
    <row r="12" spans="1:65" s="3" customFormat="1" ht="19.5" thickBot="1" x14ac:dyDescent="0.3">
      <c r="A12" s="75">
        <v>2</v>
      </c>
      <c r="B12" s="72" t="s">
        <v>24</v>
      </c>
      <c r="C12" s="68"/>
      <c r="D12" s="13"/>
      <c r="E12" s="41">
        <v>46176</v>
      </c>
      <c r="F12" s="42"/>
      <c r="G12" s="50"/>
      <c r="H12" s="54">
        <v>2</v>
      </c>
      <c r="I12" s="54">
        <v>45</v>
      </c>
      <c r="J12" s="60"/>
      <c r="K12" s="30"/>
      <c r="L12" s="14"/>
      <c r="M12" s="101"/>
      <c r="N12" s="14"/>
      <c r="O12" s="14"/>
      <c r="P12" s="14"/>
      <c r="Q12" s="99"/>
      <c r="R12" s="94"/>
      <c r="S12" s="14"/>
      <c r="T12" s="14"/>
      <c r="U12" s="14"/>
      <c r="V12" s="14"/>
      <c r="W12" s="95"/>
      <c r="X12" s="99"/>
      <c r="Y12" s="94"/>
      <c r="Z12" s="14"/>
      <c r="AA12" s="14"/>
      <c r="AB12" s="14"/>
      <c r="AC12" s="14"/>
      <c r="AD12" s="95"/>
      <c r="AE12" s="99"/>
      <c r="AF12" s="94"/>
      <c r="AG12" s="14"/>
      <c r="AH12" s="14"/>
      <c r="AI12" s="14"/>
      <c r="AJ12" s="14"/>
      <c r="AK12" s="14"/>
      <c r="AL12" s="99"/>
      <c r="AM12" s="94"/>
      <c r="AN12" s="14"/>
      <c r="AO12" s="14"/>
      <c r="AP12" s="14"/>
      <c r="AQ12" s="14"/>
      <c r="AR12" s="14"/>
      <c r="AS12" s="93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8"/>
      <c r="BI12" s="88"/>
      <c r="BJ12" s="88"/>
      <c r="BK12" s="88"/>
      <c r="BL12" s="88"/>
      <c r="BM12" s="88"/>
    </row>
    <row r="13" spans="1:65" s="3" customFormat="1" ht="19.5" thickBot="1" x14ac:dyDescent="0.3">
      <c r="A13" s="74">
        <v>3</v>
      </c>
      <c r="B13" s="72" t="s">
        <v>24</v>
      </c>
      <c r="C13" s="68"/>
      <c r="D13" s="13"/>
      <c r="E13" s="41">
        <v>46179</v>
      </c>
      <c r="F13" s="42"/>
      <c r="G13" s="50"/>
      <c r="H13" s="54">
        <v>5</v>
      </c>
      <c r="I13" s="54">
        <v>40</v>
      </c>
      <c r="J13" s="60"/>
      <c r="K13" s="30"/>
      <c r="L13" s="14"/>
      <c r="M13" s="14"/>
      <c r="N13" s="14"/>
      <c r="O13" s="14"/>
      <c r="P13" s="101"/>
      <c r="Q13" s="99"/>
      <c r="R13" s="94"/>
      <c r="S13" s="14"/>
      <c r="T13" s="14"/>
      <c r="U13" s="14"/>
      <c r="V13" s="14"/>
      <c r="W13" s="14"/>
      <c r="X13" s="99"/>
      <c r="Y13" s="94"/>
      <c r="Z13" s="14"/>
      <c r="AA13" s="14"/>
      <c r="AB13" s="14"/>
      <c r="AC13" s="14"/>
      <c r="AD13" s="95"/>
      <c r="AE13" s="99"/>
      <c r="AF13" s="94"/>
      <c r="AG13" s="14"/>
      <c r="AH13" s="14"/>
      <c r="AI13" s="14"/>
      <c r="AJ13" s="14"/>
      <c r="AK13" s="14"/>
      <c r="AL13" s="99"/>
      <c r="AM13" s="94"/>
      <c r="AN13" s="14"/>
      <c r="AO13" s="14"/>
      <c r="AP13" s="14"/>
      <c r="AQ13" s="14"/>
      <c r="AR13" s="14"/>
      <c r="AS13" s="93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8"/>
      <c r="BI13" s="88"/>
      <c r="BJ13" s="88"/>
      <c r="BK13" s="88"/>
      <c r="BL13" s="88"/>
      <c r="BM13" s="88"/>
    </row>
    <row r="14" spans="1:65" s="3" customFormat="1" ht="19.5" thickBot="1" x14ac:dyDescent="0.3">
      <c r="A14" s="75">
        <v>5</v>
      </c>
      <c r="B14" s="72" t="s">
        <v>24</v>
      </c>
      <c r="C14" s="68"/>
      <c r="D14" s="13"/>
      <c r="E14" s="41">
        <v>46183</v>
      </c>
      <c r="F14" s="42"/>
      <c r="G14" s="50"/>
      <c r="H14" s="56">
        <v>3</v>
      </c>
      <c r="I14" s="54">
        <v>50</v>
      </c>
      <c r="J14" s="60"/>
      <c r="K14" s="30"/>
      <c r="L14" s="14"/>
      <c r="M14" s="14"/>
      <c r="N14" s="14"/>
      <c r="O14" s="14"/>
      <c r="P14" s="14"/>
      <c r="Q14" s="99"/>
      <c r="R14" s="94"/>
      <c r="S14" s="14"/>
      <c r="T14" s="101"/>
      <c r="U14" s="14"/>
      <c r="V14" s="14"/>
      <c r="W14" s="14"/>
      <c r="X14" s="99"/>
      <c r="Y14" s="94"/>
      <c r="Z14" s="14"/>
      <c r="AA14" s="14"/>
      <c r="AB14" s="14"/>
      <c r="AC14" s="14"/>
      <c r="AD14" s="14"/>
      <c r="AE14" s="99"/>
      <c r="AF14" s="94"/>
      <c r="AG14" s="14"/>
      <c r="AH14" s="14"/>
      <c r="AI14" s="14"/>
      <c r="AJ14" s="14"/>
      <c r="AK14" s="14"/>
      <c r="AL14" s="100"/>
      <c r="AM14" s="94"/>
      <c r="AN14" s="14"/>
      <c r="AO14" s="14"/>
      <c r="AP14" s="14"/>
      <c r="AQ14" s="14"/>
      <c r="AR14" s="14"/>
      <c r="AS14" s="93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8"/>
      <c r="BI14" s="88"/>
      <c r="BJ14" s="88"/>
      <c r="BK14" s="88"/>
      <c r="BL14" s="88"/>
      <c r="BM14" s="88"/>
    </row>
    <row r="15" spans="1:65" s="3" customFormat="1" ht="19.5" thickBot="1" x14ac:dyDescent="0.3">
      <c r="A15" s="75">
        <v>5</v>
      </c>
      <c r="B15" s="72" t="s">
        <v>24</v>
      </c>
      <c r="C15" s="68"/>
      <c r="D15" s="13"/>
      <c r="E15" s="41">
        <v>46186</v>
      </c>
      <c r="F15" s="42"/>
      <c r="G15" s="50"/>
      <c r="H15" s="54">
        <v>5</v>
      </c>
      <c r="I15" s="54">
        <v>20</v>
      </c>
      <c r="J15" s="60"/>
      <c r="K15" s="30"/>
      <c r="L15" s="14"/>
      <c r="M15" s="14"/>
      <c r="N15" s="14"/>
      <c r="O15" s="14"/>
      <c r="P15" s="14"/>
      <c r="Q15" s="99"/>
      <c r="R15" s="94"/>
      <c r="S15" s="14"/>
      <c r="T15" s="14"/>
      <c r="U15" s="14"/>
      <c r="V15" s="14"/>
      <c r="W15" s="101"/>
      <c r="X15" s="99"/>
      <c r="Y15" s="94"/>
      <c r="Z15" s="14"/>
      <c r="AA15" s="14"/>
      <c r="AB15" s="14"/>
      <c r="AC15" s="14"/>
      <c r="AD15" s="14"/>
      <c r="AE15" s="99"/>
      <c r="AF15" s="94"/>
      <c r="AG15" s="14"/>
      <c r="AH15" s="14"/>
      <c r="AI15" s="14"/>
      <c r="AJ15" s="14"/>
      <c r="AK15" s="14"/>
      <c r="AL15" s="100"/>
      <c r="AM15" s="94"/>
      <c r="AN15" s="14"/>
      <c r="AO15" s="14"/>
      <c r="AP15" s="14"/>
      <c r="AQ15" s="14"/>
      <c r="AR15" s="14"/>
      <c r="AS15" s="93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8"/>
      <c r="BI15" s="88"/>
      <c r="BJ15" s="88"/>
      <c r="BK15" s="88"/>
      <c r="BL15" s="88"/>
      <c r="BM15" s="88"/>
    </row>
    <row r="16" spans="1:65" s="4" customFormat="1" ht="19.5" thickBot="1" x14ac:dyDescent="0.3">
      <c r="A16" s="74">
        <v>6</v>
      </c>
      <c r="B16" s="72" t="s">
        <v>24</v>
      </c>
      <c r="C16" s="69"/>
      <c r="D16" s="15"/>
      <c r="E16" s="41">
        <v>46188</v>
      </c>
      <c r="F16" s="43"/>
      <c r="G16" s="50"/>
      <c r="H16" s="57">
        <v>3</v>
      </c>
      <c r="I16" s="57">
        <v>0</v>
      </c>
      <c r="J16" s="61"/>
      <c r="K16" s="30"/>
      <c r="L16" s="14"/>
      <c r="M16" s="14"/>
      <c r="N16" s="14"/>
      <c r="O16" s="14"/>
      <c r="P16" s="14"/>
      <c r="Q16" s="99"/>
      <c r="R16" s="94"/>
      <c r="S16" s="14"/>
      <c r="T16" s="14"/>
      <c r="U16" s="14"/>
      <c r="V16" s="14"/>
      <c r="W16" s="14"/>
      <c r="X16" s="99"/>
      <c r="Y16" s="101"/>
      <c r="Z16" s="14"/>
      <c r="AA16" s="14"/>
      <c r="AB16" s="14"/>
      <c r="AC16" s="14"/>
      <c r="AD16" s="14"/>
      <c r="AE16" s="99"/>
      <c r="AF16" s="94"/>
      <c r="AG16" s="14"/>
      <c r="AH16" s="14"/>
      <c r="AI16" s="14"/>
      <c r="AJ16" s="14"/>
      <c r="AK16" s="14"/>
      <c r="AL16" s="99"/>
      <c r="AM16" s="94"/>
      <c r="AN16" s="14"/>
      <c r="AO16" s="14"/>
      <c r="AP16" s="14"/>
      <c r="AQ16" s="14"/>
      <c r="AR16" s="14"/>
      <c r="AS16" s="93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8"/>
      <c r="BI16" s="88"/>
      <c r="BJ16" s="88"/>
      <c r="BK16" s="88"/>
      <c r="BL16" s="88"/>
      <c r="BM16" s="88"/>
    </row>
    <row r="17" spans="1:65" s="4" customFormat="1" ht="19.5" thickBot="1" x14ac:dyDescent="0.3">
      <c r="A17" s="74">
        <v>7</v>
      </c>
      <c r="B17" s="72" t="s">
        <v>24</v>
      </c>
      <c r="C17" s="69"/>
      <c r="D17" s="15"/>
      <c r="E17" s="41">
        <v>46193</v>
      </c>
      <c r="F17" s="43"/>
      <c r="G17" s="50"/>
      <c r="H17" s="57">
        <v>7</v>
      </c>
      <c r="I17" s="57">
        <v>40</v>
      </c>
      <c r="J17" s="61"/>
      <c r="K17" s="30"/>
      <c r="L17" s="14"/>
      <c r="M17" s="14"/>
      <c r="N17" s="14"/>
      <c r="O17" s="14"/>
      <c r="P17" s="14"/>
      <c r="Q17" s="99"/>
      <c r="R17" s="94"/>
      <c r="S17" s="14"/>
      <c r="T17" s="14"/>
      <c r="U17" s="14"/>
      <c r="V17" s="14"/>
      <c r="W17" s="14"/>
      <c r="X17" s="99"/>
      <c r="Y17" s="94"/>
      <c r="Z17" s="14"/>
      <c r="AA17" s="14"/>
      <c r="AB17" s="14"/>
      <c r="AC17" s="14"/>
      <c r="AD17" s="101"/>
      <c r="AE17" s="100"/>
      <c r="AF17" s="94"/>
      <c r="AG17" s="14"/>
      <c r="AH17" s="14"/>
      <c r="AI17" s="14"/>
      <c r="AJ17" s="14"/>
      <c r="AK17" s="95"/>
      <c r="AL17" s="99"/>
      <c r="AM17" s="94"/>
      <c r="AN17" s="14"/>
      <c r="AO17" s="14"/>
      <c r="AP17" s="14"/>
      <c r="AQ17" s="14"/>
      <c r="AR17" s="14"/>
      <c r="AS17" s="93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8"/>
      <c r="BI17" s="88"/>
      <c r="BJ17" s="88"/>
      <c r="BK17" s="88"/>
      <c r="BL17" s="88"/>
      <c r="BM17" s="88"/>
    </row>
    <row r="18" spans="1:65" s="4" customFormat="1" ht="19.5" thickBot="1" x14ac:dyDescent="0.3">
      <c r="A18" s="75">
        <v>8</v>
      </c>
      <c r="B18" s="72" t="s">
        <v>24</v>
      </c>
      <c r="C18" s="69"/>
      <c r="D18" s="15"/>
      <c r="E18" s="41">
        <v>46196</v>
      </c>
      <c r="F18" s="43"/>
      <c r="G18" s="50"/>
      <c r="H18" s="57">
        <v>4</v>
      </c>
      <c r="I18" s="57">
        <v>30</v>
      </c>
      <c r="J18" s="61"/>
      <c r="K18" s="30"/>
      <c r="L18" s="14"/>
      <c r="M18" s="14"/>
      <c r="N18" s="14"/>
      <c r="O18" s="14"/>
      <c r="P18" s="14"/>
      <c r="Q18" s="99"/>
      <c r="R18" s="94"/>
      <c r="S18" s="14"/>
      <c r="T18" s="14"/>
      <c r="U18" s="14"/>
      <c r="V18" s="14"/>
      <c r="W18" s="14"/>
      <c r="X18" s="99"/>
      <c r="Y18" s="94"/>
      <c r="Z18" s="14"/>
      <c r="AA18" s="14"/>
      <c r="AB18" s="14"/>
      <c r="AC18" s="14"/>
      <c r="AD18" s="14"/>
      <c r="AE18" s="100"/>
      <c r="AF18" s="94"/>
      <c r="AG18" s="101"/>
      <c r="AH18" s="14"/>
      <c r="AI18" s="14"/>
      <c r="AJ18" s="14"/>
      <c r="AK18" s="14"/>
      <c r="AL18" s="100"/>
      <c r="AM18" s="94"/>
      <c r="AN18" s="14"/>
      <c r="AO18" s="14"/>
      <c r="AP18" s="14"/>
      <c r="AQ18" s="14"/>
      <c r="AR18" s="14"/>
      <c r="AS18" s="93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8"/>
      <c r="BI18" s="88"/>
      <c r="BJ18" s="88"/>
      <c r="BK18" s="88"/>
      <c r="BL18" s="88"/>
      <c r="BM18" s="88"/>
    </row>
    <row r="19" spans="1:65" s="4" customFormat="1" ht="19.5" thickBot="1" x14ac:dyDescent="0.3">
      <c r="A19" s="75">
        <v>8</v>
      </c>
      <c r="B19" s="72" t="s">
        <v>24</v>
      </c>
      <c r="C19" s="69"/>
      <c r="D19" s="15"/>
      <c r="E19" s="41">
        <v>46197</v>
      </c>
      <c r="F19" s="43"/>
      <c r="G19" s="50"/>
      <c r="H19" s="57">
        <v>4</v>
      </c>
      <c r="I19" s="57">
        <v>0</v>
      </c>
      <c r="J19" s="61"/>
      <c r="K19" s="30"/>
      <c r="L19" s="14"/>
      <c r="M19" s="14"/>
      <c r="N19" s="14"/>
      <c r="O19" s="14"/>
      <c r="P19" s="14"/>
      <c r="Q19" s="99"/>
      <c r="R19" s="94"/>
      <c r="S19" s="14"/>
      <c r="T19" s="14"/>
      <c r="U19" s="14"/>
      <c r="V19" s="14"/>
      <c r="W19" s="14"/>
      <c r="X19" s="99"/>
      <c r="Y19" s="94"/>
      <c r="Z19" s="14"/>
      <c r="AA19" s="14"/>
      <c r="AB19" s="14"/>
      <c r="AC19" s="14"/>
      <c r="AD19" s="14"/>
      <c r="AE19" s="100"/>
      <c r="AF19" s="94"/>
      <c r="AG19" s="14"/>
      <c r="AH19" s="101"/>
      <c r="AI19" s="14"/>
      <c r="AJ19" s="14"/>
      <c r="AK19" s="14"/>
      <c r="AL19" s="100"/>
      <c r="AM19" s="94"/>
      <c r="AN19" s="14"/>
      <c r="AO19" s="14"/>
      <c r="AP19" s="14"/>
      <c r="AQ19" s="14"/>
      <c r="AR19" s="14"/>
      <c r="AS19" s="93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8"/>
      <c r="BI19" s="88"/>
      <c r="BJ19" s="88"/>
      <c r="BK19" s="88"/>
      <c r="BL19" s="88"/>
      <c r="BM19" s="88"/>
    </row>
    <row r="20" spans="1:65" s="4" customFormat="1" ht="19.5" thickBot="1" x14ac:dyDescent="0.3">
      <c r="A20" s="75">
        <v>8</v>
      </c>
      <c r="B20" s="72" t="s">
        <v>25</v>
      </c>
      <c r="C20" s="69"/>
      <c r="D20" s="15"/>
      <c r="E20" s="41">
        <v>46200</v>
      </c>
      <c r="F20" s="43"/>
      <c r="G20" s="50"/>
      <c r="H20" s="57">
        <v>8</v>
      </c>
      <c r="I20" s="57">
        <v>30</v>
      </c>
      <c r="J20" s="61"/>
      <c r="K20" s="30"/>
      <c r="L20" s="14"/>
      <c r="M20" s="14"/>
      <c r="N20" s="14"/>
      <c r="O20" s="14"/>
      <c r="P20" s="14"/>
      <c r="Q20" s="99"/>
      <c r="R20" s="94"/>
      <c r="S20" s="14"/>
      <c r="T20" s="14"/>
      <c r="U20" s="14"/>
      <c r="V20" s="14"/>
      <c r="W20" s="14"/>
      <c r="X20" s="99"/>
      <c r="Y20" s="94"/>
      <c r="Z20" s="14"/>
      <c r="AA20" s="14"/>
      <c r="AB20" s="14"/>
      <c r="AC20" s="14"/>
      <c r="AD20" s="14"/>
      <c r="AE20" s="100"/>
      <c r="AF20" s="94"/>
      <c r="AG20" s="14"/>
      <c r="AH20" s="14"/>
      <c r="AI20" s="14"/>
      <c r="AJ20" s="14"/>
      <c r="AK20" s="101"/>
      <c r="AL20" s="100"/>
      <c r="AM20" s="94"/>
      <c r="AN20" s="14"/>
      <c r="AO20" s="14"/>
      <c r="AP20" s="14"/>
      <c r="AQ20" s="14"/>
      <c r="AR20" s="14"/>
      <c r="AS20" s="93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8"/>
      <c r="BI20" s="88"/>
      <c r="BJ20" s="88"/>
      <c r="BK20" s="88"/>
      <c r="BL20" s="88"/>
      <c r="BM20" s="88"/>
    </row>
    <row r="21" spans="1:65" s="4" customFormat="1" ht="19.5" thickBot="1" x14ac:dyDescent="0.3">
      <c r="A21" s="74">
        <v>9</v>
      </c>
      <c r="B21" s="72" t="s">
        <v>24</v>
      </c>
      <c r="C21" s="69"/>
      <c r="D21" s="15"/>
      <c r="E21" s="41">
        <v>46203</v>
      </c>
      <c r="F21" s="43"/>
      <c r="G21" s="50"/>
      <c r="H21" s="57">
        <v>4</v>
      </c>
      <c r="I21" s="57">
        <v>0</v>
      </c>
      <c r="J21" s="61"/>
      <c r="K21" s="30"/>
      <c r="L21" s="14"/>
      <c r="M21" s="14"/>
      <c r="N21" s="14"/>
      <c r="O21" s="14"/>
      <c r="P21" s="14"/>
      <c r="Q21" s="99"/>
      <c r="R21" s="94"/>
      <c r="S21" s="14"/>
      <c r="T21" s="14"/>
      <c r="U21" s="14"/>
      <c r="V21" s="14"/>
      <c r="W21" s="14"/>
      <c r="X21" s="99"/>
      <c r="Y21" s="94"/>
      <c r="Z21" s="14"/>
      <c r="AA21" s="14"/>
      <c r="AB21" s="14"/>
      <c r="AC21" s="14"/>
      <c r="AD21" s="14"/>
      <c r="AE21" s="100"/>
      <c r="AF21" s="94"/>
      <c r="AG21" s="14"/>
      <c r="AH21" s="14"/>
      <c r="AI21" s="14"/>
      <c r="AJ21" s="14"/>
      <c r="AK21" s="95"/>
      <c r="AL21" s="100"/>
      <c r="AM21" s="94"/>
      <c r="AN21" s="101"/>
      <c r="AO21" s="14"/>
      <c r="AP21" s="14"/>
      <c r="AQ21" s="14"/>
      <c r="AR21" s="14"/>
      <c r="AS21" s="93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8"/>
      <c r="BI21" s="88"/>
      <c r="BJ21" s="88"/>
      <c r="BK21" s="88"/>
      <c r="BL21" s="88"/>
      <c r="BM21" s="88"/>
    </row>
    <row r="22" spans="1:65" s="6" customFormat="1" ht="19.5" thickBot="1" x14ac:dyDescent="0.3">
      <c r="A22" s="18"/>
      <c r="B22" s="5" t="s">
        <v>12</v>
      </c>
      <c r="D22" s="7"/>
      <c r="E22" s="8"/>
      <c r="F22" s="8"/>
      <c r="G22" s="9"/>
      <c r="H22" s="34">
        <f>SUM(H9:H21)+INT(SUM(I9:I21)/60)</f>
        <v>57</v>
      </c>
      <c r="I22" s="34">
        <f>MOD(SUM(I9:I21),60)</f>
        <v>45</v>
      </c>
      <c r="J22" s="81"/>
      <c r="K22" s="96"/>
      <c r="L22" s="97"/>
      <c r="M22" s="97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8"/>
      <c r="BI22" s="88"/>
      <c r="BJ22" s="88"/>
      <c r="BK22" s="88"/>
      <c r="BL22" s="88"/>
      <c r="BM22" s="88"/>
    </row>
    <row r="23" spans="1:65" ht="15" customHeight="1" x14ac:dyDescent="0.25">
      <c r="A23" s="115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</row>
    <row r="24" spans="1:65" ht="15.75" thickBot="1" x14ac:dyDescent="0.3">
      <c r="A24" s="117"/>
      <c r="B24" s="118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</row>
    <row r="25" spans="1:65" x14ac:dyDescent="0.25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</row>
    <row r="26" spans="1:65" x14ac:dyDescent="0.25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82"/>
      <c r="BM26" s="82"/>
    </row>
    <row r="27" spans="1:65" x14ac:dyDescent="0.25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</row>
    <row r="28" spans="1:65" x14ac:dyDescent="0.25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82"/>
      <c r="BM28" s="82"/>
    </row>
    <row r="29" spans="1:65" x14ac:dyDescent="0.25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2"/>
      <c r="BF29" s="82"/>
      <c r="BG29" s="82"/>
      <c r="BH29" s="82"/>
      <c r="BI29" s="82"/>
      <c r="BJ29" s="82"/>
      <c r="BK29" s="82"/>
      <c r="BL29" s="82"/>
      <c r="BM29" s="82"/>
    </row>
    <row r="30" spans="1:65" x14ac:dyDescent="0.25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2"/>
      <c r="BF30" s="82"/>
      <c r="BG30" s="82"/>
      <c r="BH30" s="82"/>
      <c r="BI30" s="82"/>
      <c r="BJ30" s="82"/>
      <c r="BK30" s="82"/>
      <c r="BL30" s="82"/>
      <c r="BM30" s="82"/>
    </row>
    <row r="31" spans="1:65" x14ac:dyDescent="0.25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2"/>
      <c r="BF31" s="82"/>
      <c r="BG31" s="82"/>
      <c r="BH31" s="82"/>
      <c r="BI31" s="82"/>
      <c r="BJ31" s="82"/>
      <c r="BK31" s="82"/>
      <c r="BL31" s="82"/>
      <c r="BM31" s="82"/>
    </row>
    <row r="32" spans="1:65" x14ac:dyDescent="0.25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  <c r="BG32" s="82"/>
      <c r="BH32" s="82"/>
      <c r="BI32" s="82"/>
      <c r="BJ32" s="82"/>
      <c r="BK32" s="82"/>
      <c r="BL32" s="82"/>
      <c r="BM32" s="82"/>
    </row>
    <row r="33" spans="1:65" x14ac:dyDescent="0.25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</row>
    <row r="34" spans="1:65" x14ac:dyDescent="0.25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</row>
    <row r="35" spans="1:65" x14ac:dyDescent="0.25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</row>
    <row r="36" spans="1:65" x14ac:dyDescent="0.25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</row>
    <row r="37" spans="1:65" x14ac:dyDescent="0.25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82"/>
      <c r="BE37" s="82"/>
      <c r="BF37" s="82"/>
      <c r="BG37" s="82"/>
      <c r="BH37" s="82"/>
      <c r="BI37" s="82"/>
      <c r="BJ37" s="82"/>
      <c r="BK37" s="82"/>
      <c r="BL37" s="82"/>
      <c r="BM37" s="82"/>
    </row>
    <row r="38" spans="1:65" x14ac:dyDescent="0.25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2"/>
      <c r="BD38" s="82"/>
      <c r="BE38" s="82"/>
      <c r="BF38" s="82"/>
      <c r="BG38" s="82"/>
      <c r="BH38" s="82"/>
      <c r="BI38" s="82"/>
      <c r="BJ38" s="82"/>
      <c r="BK38" s="82"/>
      <c r="BL38" s="82"/>
      <c r="BM38" s="82"/>
    </row>
    <row r="39" spans="1:65" x14ac:dyDescent="0.25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2"/>
      <c r="BD39" s="82"/>
      <c r="BE39" s="82"/>
      <c r="BF39" s="82"/>
      <c r="BG39" s="82"/>
      <c r="BH39" s="82"/>
      <c r="BI39" s="82"/>
      <c r="BJ39" s="82"/>
      <c r="BK39" s="82"/>
      <c r="BL39" s="82"/>
      <c r="BM39" s="82"/>
    </row>
    <row r="40" spans="1:65" x14ac:dyDescent="0.25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</row>
    <row r="41" spans="1:65" x14ac:dyDescent="0.25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</row>
    <row r="42" spans="1:65" x14ac:dyDescent="0.25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2"/>
      <c r="AO42" s="82"/>
      <c r="AP42" s="82"/>
      <c r="AQ42" s="82"/>
      <c r="AR42" s="82"/>
      <c r="AS42" s="82"/>
      <c r="AT42" s="82"/>
      <c r="AU42" s="82"/>
      <c r="AV42" s="82"/>
      <c r="AW42" s="82"/>
      <c r="AX42" s="82"/>
      <c r="AY42" s="82"/>
      <c r="AZ42" s="82"/>
      <c r="BA42" s="82"/>
      <c r="BB42" s="82"/>
      <c r="BC42" s="82"/>
      <c r="BD42" s="82"/>
      <c r="BE42" s="82"/>
      <c r="BF42" s="82"/>
      <c r="BG42" s="82"/>
      <c r="BH42" s="82"/>
      <c r="BI42" s="82"/>
      <c r="BJ42" s="82"/>
      <c r="BK42" s="82"/>
      <c r="BL42" s="82"/>
      <c r="BM42" s="82"/>
    </row>
    <row r="43" spans="1:65" x14ac:dyDescent="0.25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2"/>
      <c r="AO43" s="82"/>
      <c r="AP43" s="82"/>
      <c r="AQ43" s="82"/>
      <c r="AR43" s="82"/>
      <c r="AS43" s="82"/>
      <c r="AT43" s="82"/>
      <c r="AU43" s="82"/>
      <c r="AV43" s="82"/>
      <c r="AW43" s="82"/>
      <c r="AX43" s="82"/>
      <c r="AY43" s="82"/>
      <c r="AZ43" s="82"/>
      <c r="BA43" s="82"/>
      <c r="BB43" s="82"/>
      <c r="BC43" s="82"/>
      <c r="BD43" s="82"/>
      <c r="BE43" s="82"/>
      <c r="BF43" s="82"/>
      <c r="BG43" s="82"/>
      <c r="BH43" s="82"/>
      <c r="BI43" s="82"/>
      <c r="BJ43" s="82"/>
      <c r="BK43" s="82"/>
      <c r="BL43" s="82"/>
      <c r="BM43" s="82"/>
    </row>
    <row r="44" spans="1:65" x14ac:dyDescent="0.25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2"/>
      <c r="AQ44" s="82"/>
      <c r="AR44" s="82"/>
      <c r="AS44" s="82"/>
      <c r="AT44" s="82"/>
      <c r="AU44" s="82"/>
      <c r="AV44" s="82"/>
      <c r="AW44" s="82"/>
      <c r="AX44" s="82"/>
      <c r="AY44" s="82"/>
      <c r="AZ44" s="82"/>
      <c r="BA44" s="82"/>
      <c r="BB44" s="82"/>
      <c r="BC44" s="82"/>
      <c r="BD44" s="82"/>
      <c r="BE44" s="82"/>
      <c r="BF44" s="82"/>
      <c r="BG44" s="82"/>
      <c r="BH44" s="82"/>
      <c r="BI44" s="82"/>
      <c r="BJ44" s="82"/>
      <c r="BK44" s="82"/>
      <c r="BL44" s="82"/>
      <c r="BM44" s="82"/>
    </row>
    <row r="45" spans="1:65" x14ac:dyDescent="0.25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  <c r="AB45" s="82"/>
      <c r="AC45" s="82"/>
      <c r="AD45" s="82"/>
      <c r="AE45" s="82"/>
      <c r="AF45" s="82"/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2"/>
      <c r="BK45" s="82"/>
      <c r="BL45" s="82"/>
      <c r="BM45" s="82"/>
    </row>
    <row r="46" spans="1:65" x14ac:dyDescent="0.25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  <c r="AH46" s="82"/>
      <c r="AI46" s="82"/>
      <c r="AJ46" s="82"/>
      <c r="AK46" s="82"/>
      <c r="AL46" s="82"/>
      <c r="AM46" s="82"/>
      <c r="AN46" s="82"/>
      <c r="AO46" s="82"/>
      <c r="AP46" s="82"/>
      <c r="AQ46" s="82"/>
      <c r="AR46" s="82"/>
      <c r="AS46" s="82"/>
      <c r="AT46" s="82"/>
      <c r="AU46" s="82"/>
      <c r="AV46" s="82"/>
      <c r="AW46" s="82"/>
      <c r="AX46" s="82"/>
      <c r="AY46" s="82"/>
      <c r="AZ46" s="82"/>
      <c r="BA46" s="82"/>
      <c r="BB46" s="82"/>
      <c r="BC46" s="82"/>
      <c r="BD46" s="82"/>
      <c r="BE46" s="82"/>
      <c r="BF46" s="82"/>
      <c r="BG46" s="82"/>
      <c r="BH46" s="82"/>
      <c r="BI46" s="82"/>
      <c r="BJ46" s="82"/>
      <c r="BK46" s="82"/>
      <c r="BL46" s="82"/>
      <c r="BM46" s="82"/>
    </row>
    <row r="47" spans="1:65" x14ac:dyDescent="0.25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  <c r="AH47" s="82"/>
      <c r="AI47" s="82"/>
      <c r="AJ47" s="82"/>
      <c r="AK47" s="82"/>
      <c r="AL47" s="82"/>
      <c r="AM47" s="82"/>
      <c r="AN47" s="82"/>
      <c r="AO47" s="82"/>
      <c r="AP47" s="82"/>
      <c r="AQ47" s="82"/>
      <c r="AR47" s="82"/>
      <c r="AS47" s="82"/>
      <c r="AT47" s="82"/>
      <c r="AU47" s="82"/>
      <c r="AV47" s="82"/>
      <c r="AW47" s="82"/>
      <c r="AX47" s="82"/>
      <c r="AY47" s="82"/>
      <c r="AZ47" s="82"/>
      <c r="BA47" s="82"/>
      <c r="BB47" s="82"/>
      <c r="BC47" s="82"/>
      <c r="BD47" s="82"/>
      <c r="BE47" s="82"/>
      <c r="BF47" s="82"/>
      <c r="BG47" s="82"/>
      <c r="BH47" s="82"/>
      <c r="BI47" s="82"/>
      <c r="BJ47" s="82"/>
      <c r="BK47" s="82"/>
      <c r="BL47" s="82"/>
      <c r="BM47" s="82"/>
    </row>
    <row r="48" spans="1:65" x14ac:dyDescent="0.25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  <c r="BD48" s="82"/>
      <c r="BE48" s="82"/>
      <c r="BF48" s="82"/>
      <c r="BG48" s="82"/>
      <c r="BH48" s="82"/>
      <c r="BI48" s="82"/>
      <c r="BJ48" s="82"/>
      <c r="BK48" s="82"/>
      <c r="BL48" s="82"/>
      <c r="BM48" s="82"/>
    </row>
    <row r="49" spans="1:65" x14ac:dyDescent="0.25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82"/>
      <c r="AD49" s="82"/>
      <c r="AE49" s="82"/>
      <c r="AF49" s="82"/>
      <c r="AG49" s="82"/>
      <c r="AH49" s="82"/>
      <c r="AI49" s="82"/>
      <c r="AJ49" s="82"/>
      <c r="AK49" s="82"/>
      <c r="AL49" s="82"/>
      <c r="AM49" s="82"/>
      <c r="AN49" s="82"/>
      <c r="AO49" s="82"/>
      <c r="AP49" s="82"/>
      <c r="AQ49" s="82"/>
      <c r="AR49" s="82"/>
      <c r="AS49" s="82"/>
      <c r="AT49" s="82"/>
      <c r="AU49" s="82"/>
      <c r="AV49" s="82"/>
      <c r="AW49" s="82"/>
      <c r="AX49" s="82"/>
      <c r="AY49" s="82"/>
      <c r="AZ49" s="82"/>
      <c r="BA49" s="82"/>
      <c r="BB49" s="82"/>
      <c r="BC49" s="82"/>
      <c r="BD49" s="82"/>
      <c r="BE49" s="82"/>
      <c r="BF49" s="82"/>
      <c r="BG49" s="82"/>
      <c r="BH49" s="82"/>
      <c r="BI49" s="82"/>
      <c r="BJ49" s="82"/>
      <c r="BK49" s="82"/>
      <c r="BL49" s="82"/>
      <c r="BM49" s="82"/>
    </row>
    <row r="50" spans="1:65" x14ac:dyDescent="0.2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</row>
    <row r="51" spans="1:65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</row>
    <row r="52" spans="1:65" x14ac:dyDescent="0.25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  <c r="AH52" s="82"/>
      <c r="AI52" s="82"/>
      <c r="AJ52" s="82"/>
      <c r="AK52" s="82"/>
      <c r="AL52" s="82"/>
      <c r="AM52" s="82"/>
      <c r="AN52" s="82"/>
      <c r="AO52" s="82"/>
      <c r="AP52" s="82"/>
      <c r="AQ52" s="82"/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2"/>
      <c r="BI52" s="82"/>
      <c r="BJ52" s="82"/>
      <c r="BK52" s="82"/>
      <c r="BL52" s="82"/>
      <c r="BM52" s="82"/>
    </row>
    <row r="53" spans="1:65" x14ac:dyDescent="0.25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  <c r="AH53" s="82"/>
      <c r="AI53" s="82"/>
      <c r="AJ53" s="82"/>
      <c r="AK53" s="82"/>
      <c r="AL53" s="82"/>
      <c r="AM53" s="82"/>
      <c r="AN53" s="82"/>
      <c r="AO53" s="82"/>
      <c r="AP53" s="82"/>
      <c r="AQ53" s="82"/>
      <c r="AR53" s="82"/>
      <c r="AS53" s="82"/>
      <c r="AT53" s="82"/>
      <c r="AU53" s="82"/>
      <c r="AV53" s="82"/>
      <c r="AW53" s="82"/>
      <c r="AX53" s="82"/>
      <c r="AY53" s="82"/>
      <c r="AZ53" s="82"/>
      <c r="BA53" s="82"/>
      <c r="BB53" s="82"/>
      <c r="BC53" s="82"/>
      <c r="BD53" s="82"/>
      <c r="BE53" s="82"/>
      <c r="BF53" s="82"/>
      <c r="BG53" s="82"/>
      <c r="BH53" s="82"/>
      <c r="BI53" s="82"/>
      <c r="BJ53" s="82"/>
      <c r="BK53" s="82"/>
      <c r="BL53" s="82"/>
      <c r="BM53" s="82"/>
    </row>
    <row r="54" spans="1:65" x14ac:dyDescent="0.25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2"/>
      <c r="BI54" s="82"/>
      <c r="BJ54" s="82"/>
      <c r="BK54" s="82"/>
      <c r="BL54" s="82"/>
      <c r="BM54" s="82"/>
    </row>
    <row r="55" spans="1:65" x14ac:dyDescent="0.25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2"/>
      <c r="BD55" s="82"/>
      <c r="BE55" s="82"/>
      <c r="BF55" s="82"/>
      <c r="BG55" s="82"/>
      <c r="BH55" s="82"/>
      <c r="BI55" s="82"/>
      <c r="BJ55" s="82"/>
      <c r="BK55" s="82"/>
      <c r="BL55" s="82"/>
      <c r="BM55" s="82"/>
    </row>
    <row r="56" spans="1:65" x14ac:dyDescent="0.25">
      <c r="A56" s="82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2"/>
      <c r="BI56" s="82"/>
      <c r="BJ56" s="82"/>
      <c r="BK56" s="82"/>
      <c r="BL56" s="82"/>
      <c r="BM56" s="82"/>
    </row>
    <row r="57" spans="1:65" x14ac:dyDescent="0.25">
      <c r="A57" s="82"/>
      <c r="B57" s="82"/>
      <c r="C57" s="82"/>
      <c r="D57" s="82"/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2"/>
      <c r="BI57" s="82"/>
      <c r="BJ57" s="82"/>
      <c r="BK57" s="82"/>
      <c r="BL57" s="82"/>
      <c r="BM57" s="82"/>
    </row>
    <row r="58" spans="1:65" x14ac:dyDescent="0.25">
      <c r="A58" s="82"/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2"/>
      <c r="BD58" s="82"/>
      <c r="BE58" s="82"/>
      <c r="BF58" s="82"/>
      <c r="BG58" s="82"/>
      <c r="BH58" s="82"/>
      <c r="BI58" s="82"/>
      <c r="BJ58" s="82"/>
      <c r="BK58" s="82"/>
      <c r="BL58" s="82"/>
      <c r="BM58" s="82"/>
    </row>
    <row r="59" spans="1:65" x14ac:dyDescent="0.25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2"/>
      <c r="BD59" s="82"/>
      <c r="BE59" s="82"/>
      <c r="BF59" s="82"/>
      <c r="BG59" s="82"/>
      <c r="BH59" s="82"/>
      <c r="BI59" s="82"/>
      <c r="BJ59" s="82"/>
      <c r="BK59" s="82"/>
      <c r="BL59" s="82"/>
      <c r="BM59" s="82"/>
    </row>
    <row r="60" spans="1:65" x14ac:dyDescent="0.25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</row>
    <row r="61" spans="1:65" x14ac:dyDescent="0.25">
      <c r="A61" s="82"/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2"/>
      <c r="BD61" s="82"/>
      <c r="BE61" s="82"/>
      <c r="BF61" s="82"/>
      <c r="BG61" s="82"/>
      <c r="BH61" s="82"/>
      <c r="BI61" s="82"/>
      <c r="BJ61" s="82"/>
      <c r="BK61" s="82"/>
      <c r="BL61" s="82"/>
      <c r="BM61" s="82"/>
    </row>
    <row r="62" spans="1:65" x14ac:dyDescent="0.25">
      <c r="A62" s="82"/>
      <c r="B62" s="82"/>
      <c r="C62" s="82"/>
      <c r="D62" s="82"/>
      <c r="E62" s="82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2"/>
      <c r="BD62" s="82"/>
      <c r="BE62" s="82"/>
      <c r="BF62" s="82"/>
      <c r="BG62" s="82"/>
      <c r="BH62" s="82"/>
      <c r="BI62" s="82"/>
      <c r="BJ62" s="82"/>
      <c r="BK62" s="82"/>
      <c r="BL62" s="82"/>
      <c r="BM62" s="82"/>
    </row>
    <row r="63" spans="1:65" x14ac:dyDescent="0.25">
      <c r="A63" s="82"/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2"/>
      <c r="BD63" s="82"/>
      <c r="BE63" s="82"/>
      <c r="BF63" s="82"/>
      <c r="BG63" s="82"/>
      <c r="BH63" s="82"/>
      <c r="BI63" s="82"/>
      <c r="BJ63" s="82"/>
      <c r="BK63" s="82"/>
      <c r="BL63" s="82"/>
      <c r="BM63" s="82"/>
    </row>
    <row r="64" spans="1:65" x14ac:dyDescent="0.25">
      <c r="A64" s="82"/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2"/>
      <c r="BF64" s="82"/>
      <c r="BG64" s="82"/>
      <c r="BH64" s="82"/>
      <c r="BI64" s="82"/>
      <c r="BJ64" s="82"/>
      <c r="BK64" s="82"/>
      <c r="BL64" s="82"/>
      <c r="BM64" s="82"/>
    </row>
    <row r="65" spans="1:65" x14ac:dyDescent="0.25">
      <c r="A65" s="82"/>
      <c r="B65" s="82"/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</row>
    <row r="66" spans="1:65" x14ac:dyDescent="0.25">
      <c r="A66" s="82"/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2"/>
      <c r="BD66" s="82"/>
      <c r="BE66" s="82"/>
      <c r="BF66" s="82"/>
      <c r="BG66" s="82"/>
      <c r="BH66" s="82"/>
      <c r="BI66" s="82"/>
      <c r="BJ66" s="82"/>
      <c r="BK66" s="82"/>
      <c r="BL66" s="82"/>
      <c r="BM66" s="82"/>
    </row>
    <row r="67" spans="1:65" x14ac:dyDescent="0.25">
      <c r="A67" s="82"/>
      <c r="B67" s="82"/>
      <c r="C67" s="82"/>
      <c r="D67" s="82"/>
      <c r="E67" s="82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2"/>
      <c r="BF67" s="82"/>
      <c r="BG67" s="82"/>
      <c r="BH67" s="82"/>
      <c r="BI67" s="82"/>
      <c r="BJ67" s="82"/>
      <c r="BK67" s="82"/>
      <c r="BL67" s="82"/>
      <c r="BM67" s="82"/>
    </row>
    <row r="68" spans="1:65" x14ac:dyDescent="0.25">
      <c r="A68" s="82"/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  <c r="AH68" s="82"/>
      <c r="AI68" s="82"/>
      <c r="AJ68" s="82"/>
      <c r="AK68" s="82"/>
      <c r="AL68" s="82"/>
      <c r="AM68" s="82"/>
      <c r="AN68" s="82"/>
      <c r="AO68" s="82"/>
      <c r="AP68" s="82"/>
      <c r="AQ68" s="82"/>
      <c r="AR68" s="82"/>
      <c r="AS68" s="82"/>
      <c r="AT68" s="82"/>
      <c r="AU68" s="82"/>
      <c r="AV68" s="82"/>
      <c r="AW68" s="82"/>
      <c r="AX68" s="82"/>
      <c r="AY68" s="82"/>
      <c r="AZ68" s="82"/>
      <c r="BA68" s="82"/>
      <c r="BB68" s="82"/>
      <c r="BC68" s="82"/>
      <c r="BD68" s="82"/>
      <c r="BE68" s="82"/>
      <c r="BF68" s="82"/>
      <c r="BG68" s="82"/>
      <c r="BH68" s="82"/>
      <c r="BI68" s="82"/>
      <c r="BJ68" s="82"/>
      <c r="BK68" s="82"/>
      <c r="BL68" s="82"/>
      <c r="BM68" s="82"/>
    </row>
    <row r="69" spans="1:65" x14ac:dyDescent="0.25">
      <c r="A69" s="82"/>
      <c r="B69" s="82"/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  <c r="AH69" s="82"/>
      <c r="AI69" s="82"/>
      <c r="AJ69" s="82"/>
      <c r="AK69" s="82"/>
      <c r="AL69" s="82"/>
      <c r="AM69" s="82"/>
      <c r="AN69" s="82"/>
      <c r="AO69" s="82"/>
      <c r="AP69" s="82"/>
      <c r="AQ69" s="82"/>
      <c r="AR69" s="82"/>
      <c r="AS69" s="82"/>
      <c r="AT69" s="82"/>
      <c r="AU69" s="82"/>
      <c r="AV69" s="82"/>
      <c r="AW69" s="82"/>
      <c r="AX69" s="82"/>
      <c r="AY69" s="82"/>
      <c r="AZ69" s="82"/>
      <c r="BA69" s="82"/>
      <c r="BB69" s="82"/>
      <c r="BC69" s="82"/>
      <c r="BD69" s="82"/>
      <c r="BE69" s="82"/>
      <c r="BF69" s="82"/>
      <c r="BG69" s="82"/>
      <c r="BH69" s="82"/>
      <c r="BI69" s="82"/>
      <c r="BJ69" s="82"/>
      <c r="BK69" s="82"/>
      <c r="BL69" s="82"/>
      <c r="BM69" s="82"/>
    </row>
    <row r="70" spans="1:65" x14ac:dyDescent="0.2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  <c r="AF70" s="82"/>
      <c r="AG70" s="82"/>
      <c r="AH70" s="82"/>
      <c r="AI70" s="82"/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/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2"/>
      <c r="BF70" s="82"/>
      <c r="BG70" s="82"/>
      <c r="BH70" s="82"/>
      <c r="BI70" s="82"/>
      <c r="BJ70" s="82"/>
      <c r="BK70" s="82"/>
      <c r="BL70" s="82"/>
      <c r="BM70" s="82"/>
    </row>
    <row r="71" spans="1:65" x14ac:dyDescent="0.2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  <c r="AF71" s="82"/>
      <c r="AG71" s="82"/>
      <c r="AH71" s="82"/>
      <c r="AI71" s="82"/>
      <c r="AJ71" s="82"/>
      <c r="AK71" s="82"/>
      <c r="AL71" s="82"/>
      <c r="AM71" s="82"/>
      <c r="AN71" s="82"/>
      <c r="AO71" s="82"/>
      <c r="AP71" s="82"/>
      <c r="AQ71" s="82"/>
      <c r="AR71" s="82"/>
      <c r="AS71" s="82"/>
      <c r="AT71" s="82"/>
      <c r="AU71" s="82"/>
      <c r="AV71" s="82"/>
      <c r="AW71" s="82"/>
      <c r="AX71" s="82"/>
      <c r="AY71" s="82"/>
      <c r="AZ71" s="82"/>
      <c r="BA71" s="82"/>
      <c r="BB71" s="82"/>
      <c r="BC71" s="82"/>
      <c r="BD71" s="82"/>
      <c r="BE71" s="82"/>
      <c r="BF71" s="82"/>
      <c r="BG71" s="82"/>
      <c r="BH71" s="82"/>
      <c r="BI71" s="82"/>
      <c r="BJ71" s="82"/>
      <c r="BK71" s="82"/>
      <c r="BL71" s="82"/>
      <c r="BM71" s="82"/>
    </row>
    <row r="72" spans="1:65" x14ac:dyDescent="0.25">
      <c r="A72" s="82"/>
      <c r="B72" s="82"/>
      <c r="C72" s="82"/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  <c r="AF72" s="82"/>
      <c r="AG72" s="82"/>
      <c r="AH72" s="82"/>
      <c r="AI72" s="82"/>
      <c r="AJ72" s="82"/>
      <c r="AK72" s="82"/>
      <c r="AL72" s="82"/>
      <c r="AM72" s="82"/>
      <c r="AN72" s="82"/>
      <c r="AO72" s="82"/>
      <c r="AP72" s="82"/>
      <c r="AQ72" s="82"/>
      <c r="AR72" s="82"/>
      <c r="AS72" s="82"/>
      <c r="AT72" s="82"/>
      <c r="AU72" s="82"/>
      <c r="AV72" s="82"/>
      <c r="AW72" s="82"/>
      <c r="AX72" s="82"/>
      <c r="AY72" s="82"/>
      <c r="AZ72" s="82"/>
      <c r="BA72" s="82"/>
      <c r="BB72" s="82"/>
      <c r="BC72" s="82"/>
      <c r="BD72" s="82"/>
      <c r="BE72" s="82"/>
      <c r="BF72" s="82"/>
      <c r="BG72" s="82"/>
      <c r="BH72" s="82"/>
      <c r="BI72" s="82"/>
      <c r="BJ72" s="82"/>
      <c r="BK72" s="82"/>
      <c r="BL72" s="82"/>
      <c r="BM72" s="82"/>
    </row>
    <row r="73" spans="1:65" x14ac:dyDescent="0.25">
      <c r="A73" s="82"/>
      <c r="B73" s="82"/>
      <c r="C73" s="82"/>
      <c r="D73" s="82"/>
      <c r="E73" s="82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82"/>
      <c r="AG73" s="82"/>
      <c r="AH73" s="82"/>
      <c r="AI73" s="82"/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/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2"/>
      <c r="BF73" s="82"/>
      <c r="BG73" s="82"/>
      <c r="BH73" s="82"/>
      <c r="BI73" s="82"/>
      <c r="BJ73" s="82"/>
      <c r="BK73" s="82"/>
      <c r="BL73" s="82"/>
      <c r="BM73" s="82"/>
    </row>
    <row r="74" spans="1:65" x14ac:dyDescent="0.25">
      <c r="A74" s="82"/>
      <c r="B74" s="82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  <c r="BE74" s="82"/>
      <c r="BF74" s="82"/>
      <c r="BG74" s="82"/>
      <c r="BH74" s="82"/>
      <c r="BI74" s="82"/>
      <c r="BJ74" s="82"/>
      <c r="BK74" s="82"/>
      <c r="BL74" s="82"/>
      <c r="BM74" s="82"/>
    </row>
    <row r="75" spans="1:65" x14ac:dyDescent="0.25">
      <c r="A75" s="82"/>
      <c r="B75" s="82"/>
      <c r="C75" s="82"/>
      <c r="D75" s="82"/>
      <c r="E75" s="82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  <c r="BE75" s="82"/>
      <c r="BF75" s="82"/>
      <c r="BG75" s="82"/>
      <c r="BH75" s="82"/>
      <c r="BI75" s="82"/>
      <c r="BJ75" s="82"/>
      <c r="BK75" s="82"/>
      <c r="BL75" s="82"/>
      <c r="BM75" s="82"/>
    </row>
    <row r="76" spans="1:65" x14ac:dyDescent="0.25">
      <c r="A76" s="82"/>
      <c r="B76" s="82"/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</row>
    <row r="77" spans="1:65" x14ac:dyDescent="0.25">
      <c r="A77" s="82"/>
      <c r="B77" s="82"/>
      <c r="C77" s="82"/>
      <c r="D77" s="82"/>
      <c r="E77" s="82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</row>
    <row r="78" spans="1:65" x14ac:dyDescent="0.25">
      <c r="A78" s="82"/>
      <c r="B78" s="82"/>
      <c r="C78" s="82"/>
      <c r="D78" s="82"/>
      <c r="E78" s="82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</row>
    <row r="79" spans="1:65" x14ac:dyDescent="0.25">
      <c r="A79" s="82"/>
      <c r="B79" s="82"/>
      <c r="C79" s="82"/>
      <c r="D79" s="82"/>
      <c r="E79" s="82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  <c r="AF79" s="82"/>
      <c r="AG79" s="82"/>
      <c r="AH79" s="82"/>
      <c r="AI79" s="82"/>
      <c r="AJ79" s="82"/>
      <c r="AK79" s="82"/>
      <c r="AL79" s="82"/>
      <c r="AM79" s="82"/>
      <c r="AN79" s="82"/>
      <c r="AO79" s="82"/>
      <c r="AP79" s="82"/>
      <c r="AQ79" s="82"/>
      <c r="AR79" s="82"/>
      <c r="AS79" s="82"/>
      <c r="AT79" s="82"/>
      <c r="AU79" s="82"/>
      <c r="AV79" s="82"/>
      <c r="AW79" s="82"/>
      <c r="AX79" s="82"/>
      <c r="AY79" s="82"/>
      <c r="AZ79" s="82"/>
      <c r="BA79" s="82"/>
      <c r="BB79" s="82"/>
      <c r="BC79" s="82"/>
      <c r="BD79" s="82"/>
      <c r="BE79" s="82"/>
      <c r="BF79" s="82"/>
      <c r="BG79" s="82"/>
      <c r="BH79" s="82"/>
      <c r="BI79" s="82"/>
      <c r="BJ79" s="82"/>
      <c r="BK79" s="82"/>
      <c r="BL79" s="82"/>
      <c r="BM79" s="82"/>
    </row>
    <row r="80" spans="1:65" x14ac:dyDescent="0.25">
      <c r="A80" s="82"/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  <c r="AH80" s="82"/>
      <c r="AI80" s="82"/>
      <c r="AJ80" s="82"/>
      <c r="AK80" s="82"/>
      <c r="AL80" s="82"/>
      <c r="AM80" s="82"/>
      <c r="AN80" s="82"/>
      <c r="AO80" s="82"/>
      <c r="AP80" s="82"/>
      <c r="AQ80" s="82"/>
      <c r="AR80" s="82"/>
      <c r="AS80" s="82"/>
      <c r="AT80" s="82"/>
      <c r="AU80" s="82"/>
      <c r="AV80" s="82"/>
      <c r="AW80" s="82"/>
      <c r="AX80" s="82"/>
      <c r="AY80" s="82"/>
      <c r="AZ80" s="82"/>
      <c r="BA80" s="82"/>
      <c r="BB80" s="82"/>
      <c r="BC80" s="82"/>
      <c r="BD80" s="82"/>
      <c r="BE80" s="82"/>
      <c r="BF80" s="82"/>
      <c r="BG80" s="82"/>
      <c r="BH80" s="82"/>
      <c r="BI80" s="82"/>
      <c r="BJ80" s="82"/>
      <c r="BK80" s="82"/>
      <c r="BL80" s="82"/>
      <c r="BM80" s="82"/>
    </row>
    <row r="81" spans="1:65" x14ac:dyDescent="0.25">
      <c r="A81" s="82"/>
      <c r="B81" s="82"/>
      <c r="C81" s="82"/>
      <c r="D81" s="82"/>
      <c r="E81" s="82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  <c r="AF81" s="82"/>
      <c r="AG81" s="82"/>
      <c r="AH81" s="82"/>
      <c r="AI81" s="82"/>
      <c r="AJ81" s="82"/>
      <c r="AK81" s="82"/>
      <c r="AL81" s="82"/>
      <c r="AM81" s="82"/>
      <c r="AN81" s="82"/>
      <c r="AO81" s="82"/>
      <c r="AP81" s="82"/>
      <c r="AQ81" s="82"/>
      <c r="AR81" s="82"/>
      <c r="AS81" s="82"/>
      <c r="AT81" s="82"/>
      <c r="AU81" s="82"/>
      <c r="AV81" s="82"/>
      <c r="AW81" s="82"/>
      <c r="AX81" s="82"/>
      <c r="AY81" s="82"/>
      <c r="AZ81" s="82"/>
      <c r="BA81" s="82"/>
      <c r="BB81" s="82"/>
      <c r="BC81" s="82"/>
      <c r="BD81" s="82"/>
      <c r="BE81" s="82"/>
      <c r="BF81" s="82"/>
      <c r="BG81" s="82"/>
      <c r="BH81" s="82"/>
      <c r="BI81" s="82"/>
      <c r="BJ81" s="82"/>
      <c r="BK81" s="82"/>
      <c r="BL81" s="82"/>
      <c r="BM81" s="82"/>
    </row>
    <row r="82" spans="1:65" x14ac:dyDescent="0.25">
      <c r="A82" s="82"/>
      <c r="B82" s="82"/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  <c r="AH82" s="82"/>
      <c r="AI82" s="82"/>
      <c r="AJ82" s="82"/>
      <c r="AK82" s="82"/>
      <c r="AL82" s="82"/>
      <c r="AM82" s="82"/>
      <c r="AN82" s="82"/>
      <c r="AO82" s="82"/>
      <c r="AP82" s="82"/>
      <c r="AQ82" s="82"/>
      <c r="AR82" s="82"/>
      <c r="AS82" s="82"/>
      <c r="AT82" s="82"/>
      <c r="AU82" s="82"/>
      <c r="AV82" s="82"/>
      <c r="AW82" s="82"/>
      <c r="AX82" s="82"/>
      <c r="AY82" s="82"/>
      <c r="AZ82" s="82"/>
      <c r="BA82" s="82"/>
      <c r="BB82" s="82"/>
      <c r="BC82" s="82"/>
      <c r="BD82" s="82"/>
      <c r="BE82" s="82"/>
      <c r="BF82" s="82"/>
      <c r="BG82" s="82"/>
      <c r="BH82" s="82"/>
      <c r="BI82" s="82"/>
      <c r="BJ82" s="82"/>
      <c r="BK82" s="82"/>
      <c r="BL82" s="82"/>
      <c r="BM82" s="82"/>
    </row>
    <row r="83" spans="1:65" x14ac:dyDescent="0.25">
      <c r="A83" s="82"/>
      <c r="B83" s="82"/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  <c r="AH83" s="82"/>
      <c r="AI83" s="82"/>
      <c r="AJ83" s="82"/>
      <c r="AK83" s="82"/>
      <c r="AL83" s="82"/>
      <c r="AM83" s="82"/>
      <c r="AN83" s="82"/>
      <c r="AO83" s="82"/>
      <c r="AP83" s="82"/>
      <c r="AQ83" s="82"/>
      <c r="AR83" s="82"/>
      <c r="AS83" s="82"/>
      <c r="AT83" s="82"/>
      <c r="AU83" s="82"/>
      <c r="AV83" s="82"/>
      <c r="AW83" s="82"/>
      <c r="AX83" s="82"/>
      <c r="AY83" s="82"/>
      <c r="AZ83" s="82"/>
      <c r="BA83" s="82"/>
      <c r="BB83" s="82"/>
      <c r="BC83" s="82"/>
      <c r="BD83" s="82"/>
      <c r="BE83" s="82"/>
      <c r="BF83" s="82"/>
      <c r="BG83" s="82"/>
      <c r="BH83" s="82"/>
      <c r="BI83" s="82"/>
      <c r="BJ83" s="82"/>
      <c r="BK83" s="82"/>
      <c r="BL83" s="82"/>
      <c r="BM83" s="82"/>
    </row>
    <row r="84" spans="1:65" x14ac:dyDescent="0.25">
      <c r="A84" s="82"/>
      <c r="B84" s="82"/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  <c r="AH84" s="82"/>
      <c r="AI84" s="82"/>
      <c r="AJ84" s="82"/>
      <c r="AK84" s="82"/>
      <c r="AL84" s="82"/>
      <c r="AM84" s="82"/>
      <c r="AN84" s="82"/>
      <c r="AO84" s="82"/>
      <c r="AP84" s="82"/>
      <c r="AQ84" s="82"/>
      <c r="AR84" s="82"/>
      <c r="AS84" s="82"/>
      <c r="AT84" s="82"/>
      <c r="AU84" s="82"/>
      <c r="AV84" s="82"/>
      <c r="AW84" s="82"/>
      <c r="AX84" s="82"/>
      <c r="AY84" s="82"/>
      <c r="AZ84" s="82"/>
      <c r="BA84" s="82"/>
      <c r="BB84" s="82"/>
      <c r="BC84" s="82"/>
      <c r="BD84" s="82"/>
      <c r="BE84" s="82"/>
      <c r="BF84" s="82"/>
      <c r="BG84" s="82"/>
      <c r="BH84" s="82"/>
      <c r="BI84" s="82"/>
      <c r="BJ84" s="82"/>
      <c r="BK84" s="82"/>
      <c r="BL84" s="82"/>
      <c r="BM84" s="82"/>
    </row>
    <row r="85" spans="1:65" x14ac:dyDescent="0.25">
      <c r="A85" s="82"/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  <c r="AH85" s="82"/>
      <c r="AI85" s="82"/>
      <c r="AJ85" s="82"/>
      <c r="AK85" s="82"/>
      <c r="AL85" s="82"/>
      <c r="AM85" s="82"/>
      <c r="AN85" s="82"/>
      <c r="AO85" s="82"/>
      <c r="AP85" s="82"/>
      <c r="AQ85" s="82"/>
      <c r="AR85" s="82"/>
      <c r="AS85" s="82"/>
      <c r="AT85" s="82"/>
      <c r="AU85" s="82"/>
      <c r="AV85" s="82"/>
      <c r="AW85" s="82"/>
      <c r="AX85" s="82"/>
      <c r="AY85" s="82"/>
      <c r="AZ85" s="82"/>
      <c r="BA85" s="82"/>
      <c r="BB85" s="82"/>
      <c r="BC85" s="82"/>
      <c r="BD85" s="82"/>
      <c r="BE85" s="82"/>
      <c r="BF85" s="82"/>
      <c r="BG85" s="82"/>
      <c r="BH85" s="82"/>
      <c r="BI85" s="82"/>
      <c r="BJ85" s="82"/>
      <c r="BK85" s="82"/>
      <c r="BL85" s="82"/>
      <c r="BM85" s="82"/>
    </row>
    <row r="86" spans="1:65" x14ac:dyDescent="0.25">
      <c r="A86" s="82"/>
      <c r="B86" s="82"/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  <c r="AH86" s="82"/>
      <c r="AI86" s="82"/>
      <c r="AJ86" s="82"/>
      <c r="AK86" s="82"/>
      <c r="AL86" s="82"/>
      <c r="AM86" s="82"/>
      <c r="AN86" s="82"/>
      <c r="AO86" s="82"/>
      <c r="AP86" s="82"/>
      <c r="AQ86" s="82"/>
      <c r="AR86" s="82"/>
      <c r="AS86" s="82"/>
      <c r="AT86" s="82"/>
      <c r="AU86" s="82"/>
      <c r="AV86" s="82"/>
      <c r="AW86" s="82"/>
      <c r="AX86" s="82"/>
      <c r="AY86" s="82"/>
      <c r="AZ86" s="82"/>
      <c r="BA86" s="82"/>
      <c r="BB86" s="82"/>
      <c r="BC86" s="82"/>
      <c r="BD86" s="82"/>
      <c r="BE86" s="82"/>
      <c r="BF86" s="82"/>
      <c r="BG86" s="82"/>
      <c r="BH86" s="82"/>
      <c r="BI86" s="82"/>
      <c r="BJ86" s="82"/>
      <c r="BK86" s="82"/>
      <c r="BL86" s="82"/>
      <c r="BM86" s="82"/>
    </row>
    <row r="87" spans="1:65" x14ac:dyDescent="0.25">
      <c r="A87" s="82"/>
      <c r="B87" s="82"/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  <c r="AH87" s="82"/>
      <c r="AI87" s="82"/>
      <c r="AJ87" s="82"/>
      <c r="AK87" s="82"/>
      <c r="AL87" s="82"/>
      <c r="AM87" s="82"/>
      <c r="AN87" s="82"/>
      <c r="AO87" s="82"/>
      <c r="AP87" s="82"/>
      <c r="AQ87" s="82"/>
      <c r="AR87" s="82"/>
      <c r="AS87" s="82"/>
      <c r="AT87" s="82"/>
      <c r="AU87" s="82"/>
      <c r="AV87" s="82"/>
      <c r="AW87" s="82"/>
      <c r="AX87" s="82"/>
      <c r="AY87" s="82"/>
      <c r="AZ87" s="82"/>
      <c r="BA87" s="82"/>
      <c r="BB87" s="82"/>
      <c r="BC87" s="82"/>
      <c r="BD87" s="82"/>
      <c r="BE87" s="82"/>
      <c r="BF87" s="82"/>
      <c r="BG87" s="82"/>
      <c r="BH87" s="82"/>
      <c r="BI87" s="82"/>
      <c r="BJ87" s="82"/>
      <c r="BK87" s="82"/>
      <c r="BL87" s="82"/>
      <c r="BM87" s="82"/>
    </row>
    <row r="88" spans="1:65" x14ac:dyDescent="0.25">
      <c r="A88" s="82"/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</row>
    <row r="89" spans="1:65" x14ac:dyDescent="0.25">
      <c r="A89" s="82"/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  <c r="AH89" s="82"/>
      <c r="AI89" s="82"/>
      <c r="AJ89" s="82"/>
      <c r="AK89" s="82"/>
      <c r="AL89" s="82"/>
      <c r="AM89" s="82"/>
      <c r="AN89" s="82"/>
      <c r="AO89" s="82"/>
      <c r="AP89" s="82"/>
      <c r="AQ89" s="82"/>
      <c r="AR89" s="82"/>
      <c r="AS89" s="82"/>
      <c r="AT89" s="82"/>
      <c r="AU89" s="82"/>
      <c r="AV89" s="82"/>
      <c r="AW89" s="82"/>
      <c r="AX89" s="82"/>
      <c r="AY89" s="82"/>
      <c r="AZ89" s="82"/>
      <c r="BA89" s="82"/>
      <c r="BB89" s="82"/>
      <c r="BC89" s="82"/>
      <c r="BD89" s="82"/>
      <c r="BE89" s="82"/>
      <c r="BF89" s="82"/>
      <c r="BG89" s="82"/>
      <c r="BH89" s="82"/>
      <c r="BI89" s="82"/>
      <c r="BJ89" s="82"/>
      <c r="BK89" s="82"/>
      <c r="BL89" s="82"/>
      <c r="BM89" s="82"/>
    </row>
    <row r="90" spans="1:65" x14ac:dyDescent="0.25">
      <c r="A90" s="82"/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  <c r="AH90" s="82"/>
      <c r="AI90" s="82"/>
      <c r="AJ90" s="82"/>
      <c r="AK90" s="82"/>
      <c r="AL90" s="82"/>
      <c r="AM90" s="82"/>
      <c r="AN90" s="82"/>
      <c r="AO90" s="82"/>
      <c r="AP90" s="82"/>
      <c r="AQ90" s="82"/>
      <c r="AR90" s="82"/>
      <c r="AS90" s="82"/>
      <c r="AT90" s="82"/>
      <c r="AU90" s="82"/>
      <c r="AV90" s="82"/>
      <c r="AW90" s="82"/>
      <c r="AX90" s="82"/>
      <c r="AY90" s="82"/>
      <c r="AZ90" s="82"/>
      <c r="BA90" s="82"/>
      <c r="BB90" s="82"/>
      <c r="BC90" s="82"/>
      <c r="BD90" s="82"/>
      <c r="BE90" s="82"/>
      <c r="BF90" s="82"/>
      <c r="BG90" s="82"/>
      <c r="BH90" s="82"/>
      <c r="BI90" s="82"/>
      <c r="BJ90" s="82"/>
      <c r="BK90" s="82"/>
      <c r="BL90" s="82"/>
      <c r="BM90" s="82"/>
    </row>
    <row r="91" spans="1:65" x14ac:dyDescent="0.25">
      <c r="A91" s="82"/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  <c r="AH91" s="82"/>
      <c r="AI91" s="82"/>
      <c r="AJ91" s="82"/>
      <c r="AK91" s="82"/>
      <c r="AL91" s="82"/>
      <c r="AM91" s="82"/>
      <c r="AN91" s="82"/>
      <c r="AO91" s="82"/>
      <c r="AP91" s="82"/>
      <c r="AQ91" s="82"/>
      <c r="AR91" s="82"/>
      <c r="AS91" s="82"/>
      <c r="AT91" s="82"/>
      <c r="AU91" s="82"/>
      <c r="AV91" s="82"/>
      <c r="AW91" s="82"/>
      <c r="AX91" s="82"/>
      <c r="AY91" s="82"/>
      <c r="AZ91" s="82"/>
      <c r="BA91" s="82"/>
      <c r="BB91" s="82"/>
      <c r="BC91" s="82"/>
      <c r="BD91" s="82"/>
      <c r="BE91" s="82"/>
      <c r="BF91" s="82"/>
      <c r="BG91" s="82"/>
      <c r="BH91" s="82"/>
      <c r="BI91" s="82"/>
      <c r="BJ91" s="82"/>
      <c r="BK91" s="82"/>
      <c r="BL91" s="82"/>
      <c r="BM91" s="82"/>
    </row>
    <row r="92" spans="1:65" x14ac:dyDescent="0.25">
      <c r="A92" s="82"/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  <c r="AH92" s="82"/>
      <c r="AI92" s="82"/>
      <c r="AJ92" s="82"/>
      <c r="AK92" s="82"/>
      <c r="AL92" s="82"/>
      <c r="AM92" s="82"/>
      <c r="AN92" s="82"/>
      <c r="AO92" s="82"/>
      <c r="AP92" s="82"/>
      <c r="AQ92" s="82"/>
      <c r="AR92" s="82"/>
      <c r="AS92" s="82"/>
      <c r="AT92" s="82"/>
      <c r="AU92" s="82"/>
      <c r="AV92" s="82"/>
      <c r="AW92" s="82"/>
      <c r="AX92" s="82"/>
      <c r="AY92" s="82"/>
      <c r="AZ92" s="82"/>
      <c r="BA92" s="82"/>
      <c r="BB92" s="82"/>
      <c r="BC92" s="82"/>
      <c r="BD92" s="82"/>
      <c r="BE92" s="82"/>
      <c r="BF92" s="82"/>
      <c r="BG92" s="82"/>
      <c r="BH92" s="82"/>
      <c r="BI92" s="82"/>
      <c r="BJ92" s="82"/>
      <c r="BK92" s="82"/>
      <c r="BL92" s="82"/>
      <c r="BM92" s="82"/>
    </row>
    <row r="93" spans="1:65" x14ac:dyDescent="0.25">
      <c r="A93" s="82"/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  <c r="AH93" s="82"/>
      <c r="AI93" s="82"/>
      <c r="AJ93" s="82"/>
      <c r="AK93" s="82"/>
      <c r="AL93" s="82"/>
      <c r="AM93" s="82"/>
      <c r="AN93" s="82"/>
      <c r="AO93" s="82"/>
      <c r="AP93" s="82"/>
      <c r="AQ93" s="82"/>
      <c r="AR93" s="82"/>
      <c r="AS93" s="82"/>
      <c r="AT93" s="82"/>
      <c r="AU93" s="82"/>
      <c r="AV93" s="82"/>
      <c r="AW93" s="82"/>
      <c r="AX93" s="82"/>
      <c r="AY93" s="82"/>
      <c r="AZ93" s="82"/>
      <c r="BA93" s="82"/>
      <c r="BB93" s="82"/>
      <c r="BC93" s="82"/>
      <c r="BD93" s="82"/>
      <c r="BE93" s="82"/>
      <c r="BF93" s="82"/>
      <c r="BG93" s="82"/>
      <c r="BH93" s="82"/>
      <c r="BI93" s="82"/>
      <c r="BJ93" s="82"/>
      <c r="BK93" s="82"/>
      <c r="BL93" s="82"/>
      <c r="BM93" s="82"/>
    </row>
    <row r="94" spans="1:65" x14ac:dyDescent="0.25">
      <c r="A94" s="82"/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  <c r="AH94" s="82"/>
      <c r="AI94" s="82"/>
      <c r="AJ94" s="82"/>
      <c r="AK94" s="82"/>
      <c r="AL94" s="82"/>
      <c r="AM94" s="82"/>
      <c r="AN94" s="82"/>
      <c r="AO94" s="82"/>
      <c r="AP94" s="82"/>
      <c r="AQ94" s="82"/>
      <c r="AR94" s="82"/>
      <c r="AS94" s="82"/>
      <c r="AT94" s="82"/>
      <c r="AU94" s="82"/>
      <c r="AV94" s="82"/>
      <c r="AW94" s="82"/>
      <c r="AX94" s="82"/>
      <c r="AY94" s="82"/>
      <c r="AZ94" s="82"/>
      <c r="BA94" s="82"/>
      <c r="BB94" s="82"/>
      <c r="BC94" s="82"/>
      <c r="BD94" s="82"/>
      <c r="BE94" s="82"/>
      <c r="BF94" s="82"/>
      <c r="BG94" s="82"/>
      <c r="BH94" s="82"/>
      <c r="BI94" s="82"/>
      <c r="BJ94" s="82"/>
      <c r="BK94" s="82"/>
      <c r="BL94" s="82"/>
      <c r="BM94" s="82"/>
    </row>
    <row r="95" spans="1:65" x14ac:dyDescent="0.25">
      <c r="A95" s="82"/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</row>
    <row r="96" spans="1:65" x14ac:dyDescent="0.25">
      <c r="A96" s="82"/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  <c r="AH96" s="82"/>
      <c r="AI96" s="82"/>
      <c r="AJ96" s="82"/>
      <c r="AK96" s="82"/>
      <c r="AL96" s="82"/>
      <c r="AM96" s="82"/>
      <c r="AN96" s="82"/>
      <c r="AO96" s="82"/>
      <c r="AP96" s="82"/>
      <c r="AQ96" s="82"/>
      <c r="AR96" s="82"/>
      <c r="AS96" s="82"/>
      <c r="AT96" s="82"/>
      <c r="AU96" s="82"/>
      <c r="AV96" s="82"/>
      <c r="AW96" s="82"/>
      <c r="AX96" s="82"/>
      <c r="AY96" s="82"/>
      <c r="AZ96" s="82"/>
      <c r="BA96" s="82"/>
      <c r="BB96" s="82"/>
      <c r="BC96" s="82"/>
      <c r="BD96" s="82"/>
      <c r="BE96" s="82"/>
      <c r="BF96" s="82"/>
      <c r="BG96" s="82"/>
      <c r="BH96" s="82"/>
      <c r="BI96" s="82"/>
      <c r="BJ96" s="82"/>
      <c r="BK96" s="82"/>
      <c r="BL96" s="82"/>
      <c r="BM96" s="82"/>
    </row>
    <row r="97" spans="1:65" x14ac:dyDescent="0.25">
      <c r="A97" s="82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2"/>
      <c r="BK97" s="82"/>
      <c r="BL97" s="82"/>
      <c r="BM97" s="82"/>
    </row>
    <row r="98" spans="1:65" x14ac:dyDescent="0.25">
      <c r="A98" s="82"/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  <c r="AH98" s="82"/>
      <c r="AI98" s="82"/>
      <c r="AJ98" s="82"/>
      <c r="AK98" s="82"/>
      <c r="AL98" s="82"/>
      <c r="AM98" s="82"/>
      <c r="AN98" s="82"/>
      <c r="AO98" s="82"/>
      <c r="AP98" s="82"/>
      <c r="AQ98" s="82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2"/>
      <c r="BF98" s="82"/>
      <c r="BG98" s="82"/>
      <c r="BH98" s="82"/>
      <c r="BI98" s="82"/>
      <c r="BJ98" s="82"/>
      <c r="BK98" s="82"/>
      <c r="BL98" s="82"/>
      <c r="BM98" s="82"/>
    </row>
    <row r="99" spans="1:65" x14ac:dyDescent="0.25">
      <c r="A99" s="82"/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  <c r="AH99" s="82"/>
      <c r="AI99" s="82"/>
      <c r="AJ99" s="82"/>
      <c r="AK99" s="82"/>
      <c r="AL99" s="82"/>
      <c r="AM99" s="82"/>
      <c r="AN99" s="82"/>
      <c r="AO99" s="82"/>
      <c r="AP99" s="82"/>
      <c r="AQ99" s="82"/>
      <c r="AR99" s="82"/>
      <c r="AS99" s="82"/>
      <c r="AT99" s="82"/>
      <c r="AU99" s="82"/>
      <c r="AV99" s="82"/>
      <c r="AW99" s="82"/>
      <c r="AX99" s="82"/>
      <c r="AY99" s="82"/>
      <c r="AZ99" s="82"/>
      <c r="BA99" s="82"/>
      <c r="BB99" s="82"/>
      <c r="BC99" s="82"/>
      <c r="BD99" s="82"/>
      <c r="BE99" s="82"/>
      <c r="BF99" s="82"/>
      <c r="BG99" s="82"/>
      <c r="BH99" s="82"/>
      <c r="BI99" s="82"/>
      <c r="BJ99" s="82"/>
      <c r="BK99" s="82"/>
      <c r="BL99" s="82"/>
      <c r="BM99" s="82"/>
    </row>
    <row r="100" spans="1:65" x14ac:dyDescent="0.25">
      <c r="A100" s="82"/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  <c r="AH100" s="82"/>
      <c r="AI100" s="82"/>
      <c r="AJ100" s="82"/>
      <c r="AK100" s="82"/>
      <c r="AL100" s="82"/>
      <c r="AM100" s="82"/>
      <c r="AN100" s="82"/>
      <c r="AO100" s="82"/>
      <c r="AP100" s="82"/>
      <c r="AQ100" s="82"/>
      <c r="AR100" s="82"/>
      <c r="AS100" s="82"/>
      <c r="AT100" s="82"/>
      <c r="AU100" s="82"/>
      <c r="AV100" s="82"/>
      <c r="AW100" s="82"/>
      <c r="AX100" s="82"/>
      <c r="AY100" s="82"/>
      <c r="AZ100" s="82"/>
      <c r="BA100" s="82"/>
      <c r="BB100" s="82"/>
      <c r="BC100" s="82"/>
      <c r="BD100" s="82"/>
      <c r="BE100" s="82"/>
      <c r="BF100" s="82"/>
      <c r="BG100" s="82"/>
      <c r="BH100" s="82"/>
      <c r="BI100" s="82"/>
      <c r="BJ100" s="82"/>
      <c r="BK100" s="82"/>
      <c r="BL100" s="82"/>
      <c r="BM100" s="82"/>
    </row>
    <row r="101" spans="1:65" x14ac:dyDescent="0.25">
      <c r="A101" s="82"/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  <c r="AH101" s="82"/>
      <c r="AI101" s="82"/>
      <c r="AJ101" s="82"/>
      <c r="AK101" s="82"/>
      <c r="AL101" s="82"/>
      <c r="AM101" s="82"/>
      <c r="AN101" s="82"/>
      <c r="AO101" s="82"/>
      <c r="AP101" s="82"/>
      <c r="AQ101" s="82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2"/>
      <c r="BF101" s="82"/>
      <c r="BG101" s="82"/>
      <c r="BH101" s="82"/>
      <c r="BI101" s="82"/>
      <c r="BJ101" s="82"/>
      <c r="BK101" s="82"/>
      <c r="BL101" s="82"/>
      <c r="BM101" s="82"/>
    </row>
    <row r="102" spans="1:65" x14ac:dyDescent="0.25">
      <c r="A102" s="82"/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  <c r="AH102" s="82"/>
      <c r="AI102" s="82"/>
      <c r="AJ102" s="82"/>
      <c r="AK102" s="82"/>
      <c r="AL102" s="82"/>
      <c r="AM102" s="82"/>
      <c r="AN102" s="82"/>
      <c r="AO102" s="82"/>
      <c r="AP102" s="82"/>
      <c r="AQ102" s="82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2"/>
      <c r="BF102" s="82"/>
      <c r="BG102" s="82"/>
      <c r="BH102" s="82"/>
      <c r="BI102" s="82"/>
      <c r="BJ102" s="82"/>
      <c r="BK102" s="82"/>
      <c r="BL102" s="82"/>
      <c r="BM102" s="82"/>
    </row>
    <row r="103" spans="1:65" x14ac:dyDescent="0.25">
      <c r="A103" s="82"/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  <c r="AH103" s="82"/>
      <c r="AI103" s="82"/>
      <c r="AJ103" s="82"/>
      <c r="AK103" s="82"/>
      <c r="AL103" s="82"/>
      <c r="AM103" s="82"/>
      <c r="AN103" s="82"/>
      <c r="AO103" s="82"/>
      <c r="AP103" s="82"/>
      <c r="AQ103" s="82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2"/>
      <c r="BF103" s="82"/>
      <c r="BG103" s="82"/>
      <c r="BH103" s="82"/>
      <c r="BI103" s="82"/>
      <c r="BJ103" s="82"/>
      <c r="BK103" s="82"/>
      <c r="BL103" s="82"/>
      <c r="BM103" s="82"/>
    </row>
    <row r="104" spans="1:65" x14ac:dyDescent="0.25">
      <c r="A104" s="82"/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</row>
    <row r="105" spans="1:65" x14ac:dyDescent="0.25">
      <c r="A105" s="82"/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  <c r="AH105" s="82"/>
      <c r="AI105" s="82"/>
      <c r="AJ105" s="82"/>
      <c r="AK105" s="82"/>
      <c r="AL105" s="82"/>
      <c r="AM105" s="82"/>
      <c r="AN105" s="82"/>
      <c r="AO105" s="82"/>
      <c r="AP105" s="82"/>
      <c r="AQ105" s="82"/>
      <c r="AR105" s="82"/>
      <c r="AS105" s="82"/>
      <c r="AT105" s="82"/>
      <c r="AU105" s="82"/>
      <c r="AV105" s="82"/>
      <c r="AW105" s="82"/>
      <c r="AX105" s="82"/>
      <c r="AY105" s="82"/>
      <c r="AZ105" s="82"/>
      <c r="BA105" s="82"/>
      <c r="BB105" s="82"/>
      <c r="BC105" s="82"/>
      <c r="BD105" s="82"/>
      <c r="BE105" s="82"/>
      <c r="BF105" s="82"/>
      <c r="BG105" s="82"/>
      <c r="BH105" s="82"/>
      <c r="BI105" s="82"/>
      <c r="BJ105" s="82"/>
      <c r="BK105" s="82"/>
      <c r="BL105" s="82"/>
      <c r="BM105" s="82"/>
    </row>
    <row r="106" spans="1:65" x14ac:dyDescent="0.25">
      <c r="A106" s="82"/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  <c r="AH106" s="82"/>
      <c r="AI106" s="82"/>
      <c r="AJ106" s="82"/>
      <c r="AK106" s="82"/>
      <c r="AL106" s="82"/>
      <c r="AM106" s="82"/>
      <c r="AN106" s="82"/>
      <c r="AO106" s="82"/>
      <c r="AP106" s="82"/>
      <c r="AQ106" s="82"/>
      <c r="AR106" s="82"/>
      <c r="AS106" s="82"/>
      <c r="AT106" s="82"/>
      <c r="AU106" s="82"/>
      <c r="AV106" s="82"/>
      <c r="AW106" s="82"/>
      <c r="AX106" s="82"/>
      <c r="AY106" s="82"/>
      <c r="AZ106" s="82"/>
      <c r="BA106" s="82"/>
      <c r="BB106" s="82"/>
      <c r="BC106" s="82"/>
      <c r="BD106" s="82"/>
      <c r="BE106" s="82"/>
      <c r="BF106" s="82"/>
      <c r="BG106" s="82"/>
      <c r="BH106" s="82"/>
      <c r="BI106" s="82"/>
      <c r="BJ106" s="82"/>
      <c r="BK106" s="82"/>
      <c r="BL106" s="82"/>
      <c r="BM106" s="82"/>
    </row>
    <row r="107" spans="1:65" x14ac:dyDescent="0.25">
      <c r="A107" s="82"/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M107" s="82"/>
      <c r="AN107" s="82"/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  <c r="BD107" s="82"/>
      <c r="BE107" s="82"/>
      <c r="BF107" s="82"/>
      <c r="BG107" s="82"/>
      <c r="BH107" s="82"/>
      <c r="BI107" s="82"/>
      <c r="BJ107" s="82"/>
      <c r="BK107" s="82"/>
      <c r="BL107" s="82"/>
      <c r="BM107" s="82"/>
    </row>
    <row r="108" spans="1:65" x14ac:dyDescent="0.25">
      <c r="A108" s="82"/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  <c r="AH108" s="82"/>
      <c r="AI108" s="82"/>
      <c r="AJ108" s="82"/>
      <c r="AK108" s="82"/>
      <c r="AL108" s="82"/>
      <c r="AM108" s="82"/>
      <c r="AN108" s="82"/>
      <c r="AO108" s="82"/>
      <c r="AP108" s="82"/>
      <c r="AQ108" s="82"/>
      <c r="AR108" s="82"/>
      <c r="AS108" s="82"/>
      <c r="AT108" s="82"/>
      <c r="AU108" s="82"/>
      <c r="AV108" s="82"/>
      <c r="AW108" s="82"/>
      <c r="AX108" s="82"/>
      <c r="AY108" s="82"/>
      <c r="AZ108" s="82"/>
      <c r="BA108" s="82"/>
      <c r="BB108" s="82"/>
      <c r="BC108" s="82"/>
      <c r="BD108" s="82"/>
      <c r="BE108" s="82"/>
      <c r="BF108" s="82"/>
      <c r="BG108" s="82"/>
      <c r="BH108" s="82"/>
      <c r="BI108" s="82"/>
      <c r="BJ108" s="82"/>
      <c r="BK108" s="82"/>
      <c r="BL108" s="82"/>
      <c r="BM108" s="82"/>
    </row>
    <row r="109" spans="1:65" x14ac:dyDescent="0.25">
      <c r="A109" s="82"/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82"/>
      <c r="AH109" s="82"/>
      <c r="AI109" s="82"/>
      <c r="AJ109" s="82"/>
      <c r="AK109" s="82"/>
      <c r="AL109" s="82"/>
      <c r="AM109" s="82"/>
      <c r="AN109" s="82"/>
      <c r="AO109" s="82"/>
      <c r="AP109" s="82"/>
      <c r="AQ109" s="82"/>
      <c r="AR109" s="82"/>
      <c r="AS109" s="82"/>
      <c r="AT109" s="82"/>
      <c r="AU109" s="82"/>
      <c r="AV109" s="82"/>
      <c r="AW109" s="82"/>
      <c r="AX109" s="82"/>
      <c r="AY109" s="82"/>
      <c r="AZ109" s="82"/>
      <c r="BA109" s="82"/>
      <c r="BB109" s="82"/>
      <c r="BC109" s="82"/>
      <c r="BD109" s="82"/>
      <c r="BE109" s="82"/>
      <c r="BF109" s="82"/>
      <c r="BG109" s="82"/>
      <c r="BH109" s="82"/>
      <c r="BI109" s="82"/>
      <c r="BJ109" s="82"/>
      <c r="BK109" s="82"/>
      <c r="BL109" s="82"/>
      <c r="BM109" s="82"/>
    </row>
    <row r="110" spans="1:65" x14ac:dyDescent="0.25">
      <c r="A110" s="82"/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  <c r="AF110" s="82"/>
      <c r="AG110" s="82"/>
      <c r="AH110" s="82"/>
      <c r="AI110" s="82"/>
      <c r="AJ110" s="82"/>
      <c r="AK110" s="82"/>
      <c r="AL110" s="82"/>
      <c r="AM110" s="82"/>
      <c r="AN110" s="82"/>
      <c r="AO110" s="82"/>
      <c r="AP110" s="82"/>
      <c r="AQ110" s="82"/>
      <c r="AR110" s="82"/>
      <c r="AS110" s="82"/>
      <c r="AT110" s="82"/>
      <c r="AU110" s="82"/>
      <c r="AV110" s="82"/>
      <c r="AW110" s="82"/>
      <c r="AX110" s="82"/>
      <c r="AY110" s="82"/>
      <c r="AZ110" s="82"/>
      <c r="BA110" s="82"/>
      <c r="BB110" s="82"/>
      <c r="BC110" s="82"/>
      <c r="BD110" s="82"/>
      <c r="BE110" s="82"/>
      <c r="BF110" s="82"/>
      <c r="BG110" s="82"/>
      <c r="BH110" s="82"/>
      <c r="BI110" s="82"/>
      <c r="BJ110" s="82"/>
      <c r="BK110" s="82"/>
      <c r="BL110" s="82"/>
      <c r="BM110" s="82"/>
    </row>
    <row r="111" spans="1:65" x14ac:dyDescent="0.25">
      <c r="A111" s="82"/>
      <c r="B111" s="8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  <c r="AH111" s="82"/>
      <c r="AI111" s="82"/>
      <c r="AJ111" s="82"/>
      <c r="AK111" s="82"/>
      <c r="AL111" s="82"/>
      <c r="AM111" s="82"/>
      <c r="AN111" s="82"/>
      <c r="AO111" s="82"/>
      <c r="AP111" s="82"/>
      <c r="AQ111" s="82"/>
      <c r="AR111" s="82"/>
      <c r="AS111" s="82"/>
      <c r="AT111" s="82"/>
      <c r="AU111" s="82"/>
      <c r="AV111" s="82"/>
      <c r="AW111" s="82"/>
      <c r="AX111" s="82"/>
      <c r="AY111" s="82"/>
      <c r="AZ111" s="82"/>
      <c r="BA111" s="82"/>
      <c r="BB111" s="82"/>
      <c r="BC111" s="82"/>
      <c r="BD111" s="82"/>
      <c r="BE111" s="82"/>
      <c r="BF111" s="82"/>
      <c r="BG111" s="82"/>
      <c r="BH111" s="82"/>
      <c r="BI111" s="82"/>
      <c r="BJ111" s="82"/>
      <c r="BK111" s="82"/>
      <c r="BL111" s="82"/>
      <c r="BM111" s="82"/>
    </row>
    <row r="112" spans="1:65" x14ac:dyDescent="0.25">
      <c r="A112" s="82"/>
      <c r="B112" s="82"/>
      <c r="C112" s="82"/>
      <c r="D112" s="82"/>
      <c r="E112" s="82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  <c r="AF112" s="82"/>
      <c r="AG112" s="82"/>
      <c r="AH112" s="82"/>
      <c r="AI112" s="82"/>
      <c r="AJ112" s="82"/>
      <c r="AK112" s="82"/>
      <c r="AL112" s="82"/>
      <c r="AM112" s="82"/>
      <c r="AN112" s="82"/>
      <c r="AO112" s="82"/>
      <c r="AP112" s="82"/>
      <c r="AQ112" s="82"/>
      <c r="AR112" s="82"/>
      <c r="AS112" s="82"/>
      <c r="AT112" s="82"/>
      <c r="AU112" s="82"/>
      <c r="AV112" s="82"/>
      <c r="AW112" s="82"/>
      <c r="AX112" s="82"/>
      <c r="AY112" s="82"/>
      <c r="AZ112" s="82"/>
      <c r="BA112" s="82"/>
      <c r="BB112" s="82"/>
      <c r="BC112" s="82"/>
      <c r="BD112" s="82"/>
      <c r="BE112" s="82"/>
      <c r="BF112" s="82"/>
      <c r="BG112" s="82"/>
      <c r="BH112" s="82"/>
      <c r="BI112" s="82"/>
      <c r="BJ112" s="82"/>
      <c r="BK112" s="82"/>
      <c r="BL112" s="82"/>
      <c r="BM112" s="82"/>
    </row>
    <row r="113" spans="1:65" x14ac:dyDescent="0.25">
      <c r="A113" s="82"/>
      <c r="B113" s="82"/>
      <c r="C113" s="82"/>
      <c r="D113" s="82"/>
      <c r="E113" s="82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  <c r="AF113" s="82"/>
      <c r="AG113" s="82"/>
      <c r="AH113" s="82"/>
      <c r="AI113" s="82"/>
      <c r="AJ113" s="82"/>
      <c r="AK113" s="82"/>
      <c r="AL113" s="82"/>
      <c r="AM113" s="82"/>
      <c r="AN113" s="82"/>
      <c r="AO113" s="82"/>
      <c r="AP113" s="82"/>
      <c r="AQ113" s="82"/>
      <c r="AR113" s="82"/>
      <c r="AS113" s="82"/>
      <c r="AT113" s="82"/>
      <c r="AU113" s="82"/>
      <c r="AV113" s="82"/>
      <c r="AW113" s="82"/>
      <c r="AX113" s="82"/>
      <c r="AY113" s="82"/>
      <c r="AZ113" s="82"/>
      <c r="BA113" s="82"/>
      <c r="BB113" s="82"/>
      <c r="BC113" s="82"/>
      <c r="BD113" s="82"/>
      <c r="BE113" s="82"/>
      <c r="BF113" s="82"/>
      <c r="BG113" s="82"/>
      <c r="BH113" s="82"/>
      <c r="BI113" s="82"/>
      <c r="BJ113" s="82"/>
      <c r="BK113" s="82"/>
      <c r="BL113" s="82"/>
      <c r="BM113" s="82"/>
    </row>
    <row r="114" spans="1:65" x14ac:dyDescent="0.25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  <c r="AF114" s="82"/>
      <c r="AG114" s="82"/>
      <c r="AH114" s="82"/>
      <c r="AI114" s="82"/>
      <c r="AJ114" s="82"/>
      <c r="AK114" s="82"/>
      <c r="AL114" s="82"/>
      <c r="AM114" s="82"/>
      <c r="AN114" s="82"/>
      <c r="AO114" s="82"/>
      <c r="AP114" s="82"/>
      <c r="AQ114" s="82"/>
      <c r="AR114" s="82"/>
      <c r="AS114" s="82"/>
      <c r="AT114" s="82"/>
      <c r="AU114" s="82"/>
      <c r="AV114" s="82"/>
      <c r="AW114" s="82"/>
      <c r="AX114" s="82"/>
      <c r="AY114" s="82"/>
      <c r="AZ114" s="82"/>
      <c r="BA114" s="82"/>
      <c r="BB114" s="82"/>
      <c r="BC114" s="82"/>
      <c r="BD114" s="82"/>
      <c r="BE114" s="82"/>
      <c r="BF114" s="82"/>
      <c r="BG114" s="82"/>
      <c r="BH114" s="82"/>
      <c r="BI114" s="82"/>
      <c r="BJ114" s="82"/>
      <c r="BK114" s="82"/>
      <c r="BL114" s="82"/>
      <c r="BM114" s="82"/>
    </row>
    <row r="115" spans="1:65" x14ac:dyDescent="0.25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  <c r="AF115" s="82"/>
      <c r="AG115" s="82"/>
      <c r="AH115" s="82"/>
      <c r="AI115" s="82"/>
      <c r="AJ115" s="82"/>
      <c r="AK115" s="82"/>
      <c r="AL115" s="82"/>
      <c r="AM115" s="82"/>
      <c r="AN115" s="82"/>
      <c r="AO115" s="82"/>
      <c r="AP115" s="82"/>
      <c r="AQ115" s="82"/>
      <c r="AR115" s="82"/>
      <c r="AS115" s="82"/>
      <c r="AT115" s="82"/>
      <c r="AU115" s="82"/>
      <c r="AV115" s="82"/>
      <c r="AW115" s="82"/>
      <c r="AX115" s="82"/>
      <c r="AY115" s="82"/>
      <c r="AZ115" s="82"/>
      <c r="BA115" s="82"/>
      <c r="BB115" s="82"/>
      <c r="BC115" s="82"/>
      <c r="BD115" s="82"/>
      <c r="BE115" s="82"/>
      <c r="BF115" s="82"/>
      <c r="BG115" s="82"/>
      <c r="BH115" s="82"/>
      <c r="BI115" s="82"/>
      <c r="BJ115" s="82"/>
      <c r="BK115" s="82"/>
      <c r="BL115" s="82"/>
      <c r="BM115" s="82"/>
    </row>
    <row r="116" spans="1:65" x14ac:dyDescent="0.25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2"/>
      <c r="AG116" s="82"/>
      <c r="AH116" s="82"/>
      <c r="AI116" s="82"/>
      <c r="AJ116" s="82"/>
      <c r="AK116" s="82"/>
      <c r="AL116" s="82"/>
      <c r="AM116" s="82"/>
      <c r="AN116" s="82"/>
      <c r="AO116" s="82"/>
      <c r="AP116" s="82"/>
      <c r="AQ116" s="82"/>
      <c r="AR116" s="82"/>
      <c r="AS116" s="82"/>
      <c r="AT116" s="82"/>
      <c r="AU116" s="82"/>
      <c r="AV116" s="82"/>
      <c r="AW116" s="82"/>
      <c r="AX116" s="82"/>
      <c r="AY116" s="82"/>
      <c r="AZ116" s="82"/>
      <c r="BA116" s="82"/>
      <c r="BB116" s="82"/>
      <c r="BC116" s="82"/>
      <c r="BD116" s="82"/>
      <c r="BE116" s="82"/>
      <c r="BF116" s="82"/>
      <c r="BG116" s="82"/>
      <c r="BH116" s="82"/>
      <c r="BI116" s="82"/>
      <c r="BJ116" s="82"/>
      <c r="BK116" s="82"/>
      <c r="BL116" s="82"/>
      <c r="BM116" s="82"/>
    </row>
    <row r="117" spans="1:65" x14ac:dyDescent="0.25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  <c r="AF117" s="82"/>
      <c r="AG117" s="82"/>
      <c r="AH117" s="82"/>
      <c r="AI117" s="82"/>
      <c r="AJ117" s="82"/>
      <c r="AK117" s="82"/>
      <c r="AL117" s="82"/>
      <c r="AM117" s="82"/>
      <c r="AN117" s="82"/>
      <c r="AO117" s="82"/>
      <c r="AP117" s="82"/>
      <c r="AQ117" s="82"/>
      <c r="AR117" s="82"/>
      <c r="AS117" s="82"/>
      <c r="AT117" s="82"/>
      <c r="AU117" s="82"/>
      <c r="AV117" s="82"/>
      <c r="AW117" s="82"/>
      <c r="AX117" s="82"/>
      <c r="AY117" s="82"/>
      <c r="AZ117" s="82"/>
      <c r="BA117" s="82"/>
      <c r="BB117" s="82"/>
      <c r="BC117" s="82"/>
      <c r="BD117" s="82"/>
      <c r="BE117" s="82"/>
      <c r="BF117" s="82"/>
      <c r="BG117" s="82"/>
      <c r="BH117" s="82"/>
      <c r="BI117" s="82"/>
      <c r="BJ117" s="82"/>
      <c r="BK117" s="82"/>
      <c r="BL117" s="82"/>
      <c r="BM117" s="82"/>
    </row>
    <row r="118" spans="1:65" x14ac:dyDescent="0.25">
      <c r="A118" s="82"/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82"/>
      <c r="AH118" s="82"/>
      <c r="AI118" s="82"/>
      <c r="AJ118" s="82"/>
      <c r="AK118" s="82"/>
      <c r="AL118" s="82"/>
      <c r="AM118" s="82"/>
      <c r="AN118" s="82"/>
      <c r="AO118" s="82"/>
      <c r="AP118" s="82"/>
      <c r="AQ118" s="82"/>
      <c r="AR118" s="82"/>
      <c r="AS118" s="82"/>
      <c r="AT118" s="82"/>
      <c r="AU118" s="82"/>
      <c r="AV118" s="82"/>
      <c r="AW118" s="82"/>
      <c r="AX118" s="82"/>
      <c r="AY118" s="82"/>
      <c r="AZ118" s="82"/>
      <c r="BA118" s="82"/>
      <c r="BB118" s="82"/>
      <c r="BC118" s="82"/>
      <c r="BD118" s="82"/>
      <c r="BE118" s="82"/>
      <c r="BF118" s="82"/>
      <c r="BG118" s="82"/>
      <c r="BH118" s="82"/>
      <c r="BI118" s="82"/>
      <c r="BJ118" s="82"/>
      <c r="BK118" s="82"/>
      <c r="BL118" s="82"/>
      <c r="BM118" s="82"/>
    </row>
    <row r="119" spans="1:65" x14ac:dyDescent="0.25">
      <c r="A119" s="82"/>
      <c r="B119" s="82"/>
      <c r="C119" s="82"/>
      <c r="D119" s="82"/>
      <c r="E119" s="82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  <c r="AF119" s="82"/>
      <c r="AG119" s="82"/>
      <c r="AH119" s="82"/>
      <c r="AI119" s="82"/>
      <c r="AJ119" s="82"/>
      <c r="AK119" s="82"/>
      <c r="AL119" s="82"/>
      <c r="AM119" s="82"/>
      <c r="AN119" s="82"/>
      <c r="AO119" s="82"/>
      <c r="AP119" s="82"/>
      <c r="AQ119" s="82"/>
      <c r="AR119" s="82"/>
      <c r="AS119" s="82"/>
      <c r="AT119" s="82"/>
      <c r="AU119" s="82"/>
      <c r="AV119" s="82"/>
      <c r="AW119" s="82"/>
      <c r="AX119" s="82"/>
      <c r="AY119" s="82"/>
      <c r="AZ119" s="82"/>
      <c r="BA119" s="82"/>
      <c r="BB119" s="82"/>
      <c r="BC119" s="82"/>
      <c r="BD119" s="82"/>
      <c r="BE119" s="82"/>
      <c r="BF119" s="82"/>
      <c r="BG119" s="82"/>
      <c r="BH119" s="82"/>
      <c r="BI119" s="82"/>
      <c r="BJ119" s="82"/>
      <c r="BK119" s="82"/>
      <c r="BL119" s="82"/>
      <c r="BM119" s="82"/>
    </row>
    <row r="120" spans="1:65" x14ac:dyDescent="0.25">
      <c r="A120" s="82"/>
      <c r="B120" s="82"/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82"/>
      <c r="AH120" s="82"/>
      <c r="AI120" s="82"/>
      <c r="AJ120" s="82"/>
      <c r="AK120" s="82"/>
      <c r="AL120" s="82"/>
      <c r="AM120" s="82"/>
      <c r="AN120" s="82"/>
      <c r="AO120" s="82"/>
      <c r="AP120" s="82"/>
      <c r="AQ120" s="82"/>
      <c r="AR120" s="82"/>
      <c r="AS120" s="82"/>
      <c r="AT120" s="82"/>
      <c r="AU120" s="82"/>
      <c r="AV120" s="82"/>
      <c r="AW120" s="82"/>
      <c r="AX120" s="82"/>
      <c r="AY120" s="82"/>
      <c r="AZ120" s="82"/>
      <c r="BA120" s="82"/>
      <c r="BB120" s="82"/>
      <c r="BC120" s="82"/>
      <c r="BD120" s="82"/>
      <c r="BE120" s="82"/>
      <c r="BF120" s="82"/>
      <c r="BG120" s="82"/>
      <c r="BH120" s="82"/>
      <c r="BI120" s="82"/>
      <c r="BJ120" s="82"/>
      <c r="BK120" s="82"/>
      <c r="BL120" s="82"/>
      <c r="BM120" s="82"/>
    </row>
    <row r="121" spans="1:65" x14ac:dyDescent="0.25">
      <c r="A121" s="82"/>
      <c r="B121" s="82"/>
      <c r="C121" s="82"/>
      <c r="D121" s="82"/>
      <c r="E121" s="82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  <c r="AF121" s="82"/>
      <c r="AG121" s="82"/>
      <c r="AH121" s="82"/>
      <c r="AI121" s="82"/>
      <c r="AJ121" s="82"/>
      <c r="AK121" s="82"/>
      <c r="AL121" s="82"/>
      <c r="AM121" s="82"/>
      <c r="AN121" s="82"/>
      <c r="AO121" s="82"/>
      <c r="AP121" s="82"/>
      <c r="AQ121" s="82"/>
      <c r="AR121" s="82"/>
      <c r="AS121" s="82"/>
      <c r="AT121" s="82"/>
      <c r="AU121" s="82"/>
      <c r="AV121" s="82"/>
      <c r="AW121" s="82"/>
      <c r="AX121" s="82"/>
      <c r="AY121" s="82"/>
      <c r="AZ121" s="82"/>
      <c r="BA121" s="82"/>
      <c r="BB121" s="82"/>
      <c r="BC121" s="82"/>
      <c r="BD121" s="82"/>
      <c r="BE121" s="82"/>
      <c r="BF121" s="82"/>
      <c r="BG121" s="82"/>
      <c r="BH121" s="82"/>
      <c r="BI121" s="82"/>
      <c r="BJ121" s="82"/>
      <c r="BK121" s="82"/>
      <c r="BL121" s="82"/>
      <c r="BM121" s="82"/>
    </row>
    <row r="122" spans="1:65" x14ac:dyDescent="0.25">
      <c r="A122" s="82"/>
      <c r="B122" s="82"/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  <c r="AH122" s="82"/>
      <c r="AI122" s="82"/>
      <c r="AJ122" s="82"/>
      <c r="AK122" s="82"/>
      <c r="AL122" s="82"/>
      <c r="AM122" s="82"/>
      <c r="AN122" s="82"/>
      <c r="AO122" s="82"/>
      <c r="AP122" s="82"/>
      <c r="AQ122" s="82"/>
      <c r="AR122" s="82"/>
      <c r="AS122" s="82"/>
      <c r="AT122" s="82"/>
      <c r="AU122" s="82"/>
      <c r="AV122" s="82"/>
      <c r="AW122" s="82"/>
      <c r="AX122" s="82"/>
      <c r="AY122" s="82"/>
      <c r="AZ122" s="82"/>
      <c r="BA122" s="82"/>
      <c r="BB122" s="82"/>
      <c r="BC122" s="82"/>
      <c r="BD122" s="82"/>
      <c r="BE122" s="82"/>
      <c r="BF122" s="82"/>
      <c r="BG122" s="82"/>
      <c r="BH122" s="82"/>
      <c r="BI122" s="82"/>
      <c r="BJ122" s="82"/>
      <c r="BK122" s="82"/>
      <c r="BL122" s="82"/>
      <c r="BM122" s="82"/>
    </row>
    <row r="123" spans="1:65" x14ac:dyDescent="0.25">
      <c r="A123" s="82"/>
      <c r="B123" s="82"/>
      <c r="C123" s="82"/>
      <c r="D123" s="82"/>
      <c r="E123" s="82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  <c r="AF123" s="82"/>
      <c r="AG123" s="82"/>
      <c r="AH123" s="82"/>
      <c r="AI123" s="82"/>
      <c r="AJ123" s="82"/>
      <c r="AK123" s="82"/>
      <c r="AL123" s="82"/>
      <c r="AM123" s="82"/>
      <c r="AN123" s="82"/>
      <c r="AO123" s="82"/>
      <c r="AP123" s="82"/>
      <c r="AQ123" s="82"/>
      <c r="AR123" s="82"/>
      <c r="AS123" s="82"/>
      <c r="AT123" s="82"/>
      <c r="AU123" s="82"/>
      <c r="AV123" s="82"/>
      <c r="AW123" s="82"/>
      <c r="AX123" s="82"/>
      <c r="AY123" s="82"/>
      <c r="AZ123" s="82"/>
      <c r="BA123" s="82"/>
      <c r="BB123" s="82"/>
      <c r="BC123" s="82"/>
      <c r="BD123" s="82"/>
      <c r="BE123" s="82"/>
      <c r="BF123" s="82"/>
      <c r="BG123" s="82"/>
      <c r="BH123" s="82"/>
      <c r="BI123" s="82"/>
      <c r="BJ123" s="82"/>
      <c r="BK123" s="82"/>
      <c r="BL123" s="82"/>
      <c r="BM123" s="82"/>
    </row>
    <row r="124" spans="1:65" x14ac:dyDescent="0.25">
      <c r="A124" s="82"/>
      <c r="B124" s="82"/>
      <c r="C124" s="82"/>
      <c r="D124" s="82"/>
      <c r="E124" s="82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2"/>
      <c r="AG124" s="82"/>
      <c r="AH124" s="82"/>
      <c r="AI124" s="82"/>
      <c r="AJ124" s="82"/>
      <c r="AK124" s="82"/>
      <c r="AL124" s="82"/>
      <c r="AM124" s="82"/>
      <c r="AN124" s="82"/>
      <c r="AO124" s="82"/>
      <c r="AP124" s="82"/>
      <c r="AQ124" s="82"/>
      <c r="AR124" s="82"/>
      <c r="AS124" s="82"/>
      <c r="AT124" s="82"/>
      <c r="AU124" s="82"/>
      <c r="AV124" s="82"/>
      <c r="AW124" s="82"/>
      <c r="AX124" s="82"/>
      <c r="AY124" s="82"/>
      <c r="AZ124" s="82"/>
      <c r="BA124" s="82"/>
      <c r="BB124" s="82"/>
      <c r="BC124" s="82"/>
      <c r="BD124" s="82"/>
      <c r="BE124" s="82"/>
      <c r="BF124" s="82"/>
      <c r="BG124" s="82"/>
      <c r="BH124" s="82"/>
      <c r="BI124" s="82"/>
      <c r="BJ124" s="82"/>
      <c r="BK124" s="82"/>
      <c r="BL124" s="82"/>
      <c r="BM124" s="82"/>
    </row>
    <row r="125" spans="1:65" x14ac:dyDescent="0.25">
      <c r="A125" s="82"/>
      <c r="B125" s="82"/>
      <c r="C125" s="82"/>
      <c r="D125" s="82"/>
      <c r="E125" s="82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  <c r="AF125" s="82"/>
      <c r="AG125" s="82"/>
      <c r="AH125" s="82"/>
      <c r="AI125" s="82"/>
      <c r="AJ125" s="82"/>
      <c r="AK125" s="82"/>
      <c r="AL125" s="82"/>
      <c r="AM125" s="82"/>
      <c r="AN125" s="82"/>
      <c r="AO125" s="82"/>
      <c r="AP125" s="82"/>
      <c r="AQ125" s="82"/>
      <c r="AR125" s="82"/>
      <c r="AS125" s="82"/>
      <c r="AT125" s="82"/>
      <c r="AU125" s="82"/>
      <c r="AV125" s="82"/>
      <c r="AW125" s="82"/>
      <c r="AX125" s="82"/>
      <c r="AY125" s="82"/>
      <c r="AZ125" s="82"/>
      <c r="BA125" s="82"/>
      <c r="BB125" s="82"/>
      <c r="BC125" s="82"/>
      <c r="BD125" s="82"/>
      <c r="BE125" s="82"/>
      <c r="BF125" s="82"/>
      <c r="BG125" s="82"/>
      <c r="BH125" s="82"/>
      <c r="BI125" s="82"/>
      <c r="BJ125" s="82"/>
      <c r="BK125" s="82"/>
      <c r="BL125" s="82"/>
      <c r="BM125" s="82"/>
    </row>
    <row r="126" spans="1:65" x14ac:dyDescent="0.25">
      <c r="A126" s="82"/>
      <c r="B126" s="82"/>
      <c r="C126" s="82"/>
      <c r="D126" s="82"/>
      <c r="E126" s="82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  <c r="AF126" s="82"/>
      <c r="AG126" s="82"/>
      <c r="AH126" s="82"/>
      <c r="AI126" s="82"/>
      <c r="AJ126" s="82"/>
      <c r="AK126" s="82"/>
      <c r="AL126" s="82"/>
      <c r="AM126" s="82"/>
      <c r="AN126" s="82"/>
      <c r="AO126" s="82"/>
      <c r="AP126" s="82"/>
      <c r="AQ126" s="82"/>
      <c r="AR126" s="82"/>
      <c r="AS126" s="82"/>
      <c r="AT126" s="82"/>
      <c r="AU126" s="82"/>
      <c r="AV126" s="82"/>
      <c r="AW126" s="82"/>
      <c r="AX126" s="82"/>
      <c r="AY126" s="82"/>
      <c r="AZ126" s="82"/>
      <c r="BA126" s="82"/>
      <c r="BB126" s="82"/>
      <c r="BC126" s="82"/>
      <c r="BD126" s="82"/>
      <c r="BE126" s="82"/>
      <c r="BF126" s="82"/>
      <c r="BG126" s="82"/>
      <c r="BH126" s="82"/>
      <c r="BI126" s="82"/>
      <c r="BJ126" s="82"/>
      <c r="BK126" s="82"/>
      <c r="BL126" s="82"/>
      <c r="BM126" s="82"/>
    </row>
    <row r="127" spans="1:65" x14ac:dyDescent="0.25">
      <c r="A127" s="82"/>
      <c r="B127" s="82"/>
      <c r="C127" s="82"/>
      <c r="D127" s="82"/>
      <c r="E127" s="82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  <c r="AF127" s="82"/>
      <c r="AG127" s="82"/>
      <c r="AH127" s="82"/>
      <c r="AI127" s="82"/>
      <c r="AJ127" s="82"/>
      <c r="AK127" s="82"/>
      <c r="AL127" s="82"/>
      <c r="AM127" s="82"/>
      <c r="AN127" s="82"/>
      <c r="AO127" s="82"/>
      <c r="AP127" s="82"/>
      <c r="AQ127" s="82"/>
      <c r="AR127" s="82"/>
      <c r="AS127" s="82"/>
      <c r="AT127" s="82"/>
      <c r="AU127" s="82"/>
      <c r="AV127" s="82"/>
      <c r="AW127" s="82"/>
      <c r="AX127" s="82"/>
      <c r="AY127" s="82"/>
      <c r="AZ127" s="82"/>
      <c r="BA127" s="82"/>
      <c r="BB127" s="82"/>
      <c r="BC127" s="82"/>
      <c r="BD127" s="82"/>
      <c r="BE127" s="82"/>
      <c r="BF127" s="82"/>
      <c r="BG127" s="82"/>
      <c r="BH127" s="82"/>
      <c r="BI127" s="82"/>
      <c r="BJ127" s="82"/>
      <c r="BK127" s="82"/>
      <c r="BL127" s="82"/>
      <c r="BM127" s="82"/>
    </row>
    <row r="128" spans="1:65" x14ac:dyDescent="0.25">
      <c r="A128" s="82"/>
      <c r="B128" s="82"/>
      <c r="C128" s="82"/>
      <c r="D128" s="82"/>
      <c r="E128" s="82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  <c r="AF128" s="82"/>
      <c r="AG128" s="82"/>
      <c r="AH128" s="82"/>
      <c r="AI128" s="82"/>
      <c r="AJ128" s="82"/>
      <c r="AK128" s="82"/>
      <c r="AL128" s="82"/>
      <c r="AM128" s="82"/>
      <c r="AN128" s="82"/>
      <c r="AO128" s="82"/>
      <c r="AP128" s="82"/>
      <c r="AQ128" s="82"/>
      <c r="AR128" s="82"/>
      <c r="AS128" s="82"/>
      <c r="AT128" s="82"/>
      <c r="AU128" s="82"/>
      <c r="AV128" s="82"/>
      <c r="AW128" s="82"/>
      <c r="AX128" s="82"/>
      <c r="AY128" s="82"/>
      <c r="AZ128" s="82"/>
      <c r="BA128" s="82"/>
      <c r="BB128" s="82"/>
      <c r="BC128" s="82"/>
      <c r="BD128" s="82"/>
      <c r="BE128" s="82"/>
      <c r="BF128" s="82"/>
      <c r="BG128" s="82"/>
      <c r="BH128" s="82"/>
      <c r="BI128" s="82"/>
      <c r="BJ128" s="82"/>
      <c r="BK128" s="82"/>
      <c r="BL128" s="82"/>
      <c r="BM128" s="82"/>
    </row>
    <row r="129" spans="1:65" x14ac:dyDescent="0.25">
      <c r="A129" s="82"/>
      <c r="B129" s="82"/>
      <c r="C129" s="82"/>
      <c r="D129" s="82"/>
      <c r="E129" s="82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  <c r="AF129" s="82"/>
      <c r="AG129" s="82"/>
      <c r="AH129" s="82"/>
      <c r="AI129" s="82"/>
      <c r="AJ129" s="82"/>
      <c r="AK129" s="82"/>
      <c r="AL129" s="82"/>
      <c r="AM129" s="82"/>
      <c r="AN129" s="82"/>
      <c r="AO129" s="82"/>
      <c r="AP129" s="82"/>
      <c r="AQ129" s="82"/>
      <c r="AR129" s="82"/>
      <c r="AS129" s="82"/>
      <c r="AT129" s="82"/>
      <c r="AU129" s="82"/>
      <c r="AV129" s="82"/>
      <c r="AW129" s="82"/>
      <c r="AX129" s="82"/>
      <c r="AY129" s="82"/>
      <c r="AZ129" s="82"/>
      <c r="BA129" s="82"/>
      <c r="BB129" s="82"/>
      <c r="BC129" s="82"/>
      <c r="BD129" s="82"/>
      <c r="BE129" s="82"/>
      <c r="BF129" s="82"/>
      <c r="BG129" s="82"/>
      <c r="BH129" s="82"/>
      <c r="BI129" s="82"/>
      <c r="BJ129" s="82"/>
      <c r="BK129" s="82"/>
      <c r="BL129" s="82"/>
      <c r="BM129" s="82"/>
    </row>
    <row r="130" spans="1:65" x14ac:dyDescent="0.25">
      <c r="A130" s="82"/>
      <c r="B130" s="82"/>
      <c r="C130" s="82"/>
      <c r="D130" s="82"/>
      <c r="E130" s="82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  <c r="AF130" s="82"/>
      <c r="AG130" s="82"/>
      <c r="AH130" s="82"/>
      <c r="AI130" s="82"/>
      <c r="AJ130" s="82"/>
      <c r="AK130" s="82"/>
      <c r="AL130" s="82"/>
      <c r="AM130" s="82"/>
      <c r="AN130" s="82"/>
      <c r="AO130" s="82"/>
      <c r="AP130" s="82"/>
      <c r="AQ130" s="82"/>
      <c r="AR130" s="82"/>
      <c r="AS130" s="82"/>
      <c r="AT130" s="82"/>
      <c r="AU130" s="82"/>
      <c r="AV130" s="82"/>
      <c r="AW130" s="82"/>
      <c r="AX130" s="82"/>
      <c r="AY130" s="82"/>
      <c r="AZ130" s="82"/>
      <c r="BA130" s="82"/>
      <c r="BB130" s="82"/>
      <c r="BC130" s="82"/>
      <c r="BD130" s="82"/>
      <c r="BE130" s="82"/>
      <c r="BF130" s="82"/>
      <c r="BG130" s="82"/>
      <c r="BH130" s="82"/>
      <c r="BI130" s="82"/>
      <c r="BJ130" s="82"/>
      <c r="BK130" s="82"/>
      <c r="BL130" s="82"/>
      <c r="BM130" s="82"/>
    </row>
    <row r="131" spans="1:65" x14ac:dyDescent="0.25">
      <c r="A131" s="82"/>
      <c r="B131" s="82"/>
      <c r="C131" s="82"/>
      <c r="D131" s="82"/>
      <c r="E131" s="82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  <c r="AF131" s="82"/>
      <c r="AG131" s="82"/>
      <c r="AH131" s="82"/>
      <c r="AI131" s="82"/>
      <c r="AJ131" s="82"/>
      <c r="AK131" s="82"/>
      <c r="AL131" s="82"/>
      <c r="AM131" s="82"/>
      <c r="AN131" s="82"/>
      <c r="AO131" s="82"/>
      <c r="AP131" s="82"/>
      <c r="AQ131" s="82"/>
      <c r="AR131" s="82"/>
      <c r="AS131" s="82"/>
      <c r="AT131" s="82"/>
      <c r="AU131" s="82"/>
      <c r="AV131" s="82"/>
      <c r="AW131" s="82"/>
      <c r="AX131" s="82"/>
      <c r="AY131" s="82"/>
      <c r="AZ131" s="82"/>
      <c r="BA131" s="82"/>
      <c r="BB131" s="82"/>
      <c r="BC131" s="82"/>
      <c r="BD131" s="82"/>
      <c r="BE131" s="82"/>
      <c r="BF131" s="82"/>
      <c r="BG131" s="82"/>
      <c r="BH131" s="82"/>
      <c r="BI131" s="82"/>
      <c r="BJ131" s="82"/>
      <c r="BK131" s="82"/>
      <c r="BL131" s="82"/>
      <c r="BM131" s="82"/>
    </row>
    <row r="132" spans="1:65" x14ac:dyDescent="0.25">
      <c r="A132" s="82"/>
      <c r="B132" s="82"/>
      <c r="C132" s="82"/>
      <c r="D132" s="82"/>
      <c r="E132" s="82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  <c r="AF132" s="82"/>
      <c r="AG132" s="82"/>
      <c r="AH132" s="82"/>
      <c r="AI132" s="82"/>
      <c r="AJ132" s="82"/>
      <c r="AK132" s="82"/>
      <c r="AL132" s="82"/>
      <c r="AM132" s="82"/>
      <c r="AN132" s="82"/>
      <c r="AO132" s="82"/>
      <c r="AP132" s="82"/>
      <c r="AQ132" s="82"/>
      <c r="AR132" s="82"/>
      <c r="AS132" s="82"/>
      <c r="AT132" s="82"/>
      <c r="AU132" s="82"/>
      <c r="AV132" s="82"/>
      <c r="AW132" s="82"/>
      <c r="AX132" s="82"/>
      <c r="AY132" s="82"/>
      <c r="AZ132" s="82"/>
      <c r="BA132" s="82"/>
      <c r="BB132" s="82"/>
      <c r="BC132" s="82"/>
      <c r="BD132" s="82"/>
      <c r="BE132" s="82"/>
      <c r="BF132" s="82"/>
      <c r="BG132" s="82"/>
      <c r="BH132" s="82"/>
      <c r="BI132" s="82"/>
      <c r="BJ132" s="82"/>
      <c r="BK132" s="82"/>
      <c r="BL132" s="82"/>
      <c r="BM132" s="82"/>
    </row>
    <row r="133" spans="1:65" x14ac:dyDescent="0.25">
      <c r="A133" s="82"/>
      <c r="B133" s="82"/>
      <c r="C133" s="82"/>
      <c r="D133" s="82"/>
      <c r="E133" s="82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2"/>
      <c r="AG133" s="82"/>
      <c r="AH133" s="82"/>
      <c r="AI133" s="82"/>
      <c r="AJ133" s="82"/>
      <c r="AK133" s="82"/>
      <c r="AL133" s="82"/>
      <c r="AM133" s="82"/>
      <c r="AN133" s="82"/>
      <c r="AO133" s="82"/>
      <c r="AP133" s="82"/>
      <c r="AQ133" s="82"/>
      <c r="AR133" s="82"/>
      <c r="AS133" s="82"/>
      <c r="AT133" s="82"/>
      <c r="AU133" s="82"/>
      <c r="AV133" s="82"/>
      <c r="AW133" s="82"/>
      <c r="AX133" s="82"/>
      <c r="AY133" s="82"/>
      <c r="AZ133" s="82"/>
      <c r="BA133" s="82"/>
      <c r="BB133" s="82"/>
      <c r="BC133" s="82"/>
      <c r="BD133" s="82"/>
      <c r="BE133" s="82"/>
      <c r="BF133" s="82"/>
      <c r="BG133" s="82"/>
      <c r="BH133" s="82"/>
      <c r="BI133" s="82"/>
      <c r="BJ133" s="82"/>
      <c r="BK133" s="82"/>
      <c r="BL133" s="82"/>
      <c r="BM133" s="82"/>
    </row>
    <row r="134" spans="1:65" x14ac:dyDescent="0.25">
      <c r="A134" s="82"/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  <c r="AH134" s="82"/>
      <c r="AI134" s="82"/>
      <c r="AJ134" s="82"/>
      <c r="AK134" s="82"/>
      <c r="AL134" s="82"/>
      <c r="AM134" s="82"/>
      <c r="AN134" s="82"/>
      <c r="AO134" s="82"/>
      <c r="AP134" s="82"/>
      <c r="AQ134" s="82"/>
      <c r="AR134" s="82"/>
      <c r="AS134" s="82"/>
      <c r="AT134" s="82"/>
      <c r="AU134" s="82"/>
      <c r="AV134" s="82"/>
      <c r="AW134" s="82"/>
      <c r="AX134" s="82"/>
      <c r="AY134" s="82"/>
      <c r="AZ134" s="82"/>
      <c r="BA134" s="82"/>
      <c r="BB134" s="82"/>
      <c r="BC134" s="82"/>
      <c r="BD134" s="82"/>
      <c r="BE134" s="82"/>
      <c r="BF134" s="82"/>
      <c r="BG134" s="82"/>
      <c r="BH134" s="82"/>
      <c r="BI134" s="82"/>
      <c r="BJ134" s="82"/>
      <c r="BK134" s="82"/>
      <c r="BL134" s="82"/>
      <c r="BM134" s="82"/>
    </row>
    <row r="135" spans="1:65" x14ac:dyDescent="0.25">
      <c r="A135" s="82"/>
      <c r="B135" s="82"/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  <c r="AH135" s="82"/>
      <c r="AI135" s="82"/>
      <c r="AJ135" s="82"/>
      <c r="AK135" s="82"/>
      <c r="AL135" s="82"/>
      <c r="AM135" s="82"/>
      <c r="AN135" s="82"/>
      <c r="AO135" s="82"/>
      <c r="AP135" s="82"/>
      <c r="AQ135" s="82"/>
      <c r="AR135" s="82"/>
      <c r="AS135" s="82"/>
      <c r="AT135" s="82"/>
      <c r="AU135" s="82"/>
      <c r="AV135" s="82"/>
      <c r="AW135" s="82"/>
      <c r="AX135" s="82"/>
      <c r="AY135" s="82"/>
      <c r="AZ135" s="82"/>
      <c r="BA135" s="82"/>
      <c r="BB135" s="82"/>
      <c r="BC135" s="82"/>
      <c r="BD135" s="82"/>
      <c r="BE135" s="82"/>
      <c r="BF135" s="82"/>
      <c r="BG135" s="82"/>
      <c r="BH135" s="82"/>
      <c r="BI135" s="82"/>
      <c r="BJ135" s="82"/>
      <c r="BK135" s="82"/>
      <c r="BL135" s="82"/>
      <c r="BM135" s="82"/>
    </row>
    <row r="136" spans="1:65" x14ac:dyDescent="0.25">
      <c r="A136" s="82"/>
      <c r="B136" s="82"/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  <c r="AH136" s="82"/>
      <c r="AI136" s="82"/>
      <c r="AJ136" s="82"/>
      <c r="AK136" s="82"/>
      <c r="AL136" s="82"/>
      <c r="AM136" s="82"/>
      <c r="AN136" s="82"/>
      <c r="AO136" s="82"/>
      <c r="AP136" s="82"/>
      <c r="AQ136" s="82"/>
      <c r="AR136" s="82"/>
      <c r="AS136" s="82"/>
      <c r="AT136" s="82"/>
      <c r="AU136" s="82"/>
      <c r="AV136" s="82"/>
      <c r="AW136" s="82"/>
      <c r="AX136" s="82"/>
      <c r="AY136" s="82"/>
      <c r="AZ136" s="82"/>
      <c r="BA136" s="82"/>
      <c r="BB136" s="82"/>
      <c r="BC136" s="82"/>
      <c r="BD136" s="82"/>
      <c r="BE136" s="82"/>
      <c r="BF136" s="82"/>
      <c r="BG136" s="82"/>
      <c r="BH136" s="82"/>
      <c r="BI136" s="82"/>
      <c r="BJ136" s="82"/>
      <c r="BK136" s="82"/>
      <c r="BL136" s="82"/>
      <c r="BM136" s="82"/>
    </row>
    <row r="137" spans="1:65" x14ac:dyDescent="0.25">
      <c r="A137" s="82"/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M137" s="82"/>
      <c r="AN137" s="82"/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  <c r="BD137" s="82"/>
      <c r="BE137" s="82"/>
      <c r="BF137" s="82"/>
      <c r="BG137" s="82"/>
      <c r="BH137" s="82"/>
      <c r="BI137" s="82"/>
      <c r="BJ137" s="82"/>
      <c r="BK137" s="82"/>
      <c r="BL137" s="82"/>
      <c r="BM137" s="82"/>
    </row>
    <row r="138" spans="1:65" x14ac:dyDescent="0.25">
      <c r="A138" s="82"/>
      <c r="B138" s="82"/>
      <c r="C138" s="82"/>
      <c r="D138" s="82"/>
      <c r="E138" s="82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  <c r="AF138" s="82"/>
      <c r="AG138" s="82"/>
      <c r="AH138" s="82"/>
      <c r="AI138" s="82"/>
      <c r="AJ138" s="82"/>
      <c r="AK138" s="82"/>
      <c r="AL138" s="82"/>
      <c r="AM138" s="82"/>
      <c r="AN138" s="82"/>
      <c r="AO138" s="82"/>
      <c r="AP138" s="82"/>
      <c r="AQ138" s="82"/>
      <c r="AR138" s="82"/>
      <c r="AS138" s="82"/>
      <c r="AT138" s="82"/>
      <c r="AU138" s="82"/>
      <c r="AV138" s="82"/>
      <c r="AW138" s="82"/>
      <c r="AX138" s="82"/>
      <c r="AY138" s="82"/>
      <c r="AZ138" s="82"/>
      <c r="BA138" s="82"/>
      <c r="BB138" s="82"/>
      <c r="BC138" s="82"/>
      <c r="BD138" s="82"/>
      <c r="BE138" s="82"/>
      <c r="BF138" s="82"/>
      <c r="BG138" s="82"/>
      <c r="BH138" s="82"/>
      <c r="BI138" s="82"/>
      <c r="BJ138" s="82"/>
      <c r="BK138" s="82"/>
      <c r="BL138" s="82"/>
      <c r="BM138" s="82"/>
    </row>
    <row r="139" spans="1:65" x14ac:dyDescent="0.25">
      <c r="A139" s="82"/>
      <c r="B139" s="82"/>
      <c r="C139" s="82"/>
      <c r="D139" s="82"/>
      <c r="E139" s="82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  <c r="AF139" s="82"/>
      <c r="AG139" s="82"/>
      <c r="AH139" s="82"/>
      <c r="AI139" s="82"/>
      <c r="AJ139" s="82"/>
      <c r="AK139" s="82"/>
      <c r="AL139" s="82"/>
      <c r="AM139" s="82"/>
      <c r="AN139" s="82"/>
      <c r="AO139" s="82"/>
      <c r="AP139" s="82"/>
      <c r="AQ139" s="82"/>
      <c r="AR139" s="82"/>
      <c r="AS139" s="82"/>
      <c r="AT139" s="82"/>
      <c r="AU139" s="82"/>
      <c r="AV139" s="82"/>
      <c r="AW139" s="82"/>
      <c r="AX139" s="82"/>
      <c r="AY139" s="82"/>
      <c r="AZ139" s="82"/>
      <c r="BA139" s="82"/>
      <c r="BB139" s="82"/>
      <c r="BC139" s="82"/>
      <c r="BD139" s="82"/>
      <c r="BE139" s="82"/>
      <c r="BF139" s="82"/>
      <c r="BG139" s="82"/>
      <c r="BH139" s="82"/>
      <c r="BI139" s="82"/>
      <c r="BJ139" s="82"/>
      <c r="BK139" s="82"/>
      <c r="BL139" s="82"/>
      <c r="BM139" s="82"/>
    </row>
    <row r="140" spans="1:65" x14ac:dyDescent="0.25">
      <c r="A140" s="82"/>
      <c r="B140" s="82"/>
      <c r="C140" s="82"/>
      <c r="D140" s="82"/>
      <c r="E140" s="82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  <c r="AF140" s="82"/>
      <c r="AG140" s="82"/>
      <c r="AH140" s="82"/>
      <c r="AI140" s="82"/>
      <c r="AJ140" s="82"/>
      <c r="AK140" s="82"/>
      <c r="AL140" s="82"/>
      <c r="AM140" s="82"/>
      <c r="AN140" s="82"/>
      <c r="AO140" s="82"/>
      <c r="AP140" s="82"/>
      <c r="AQ140" s="82"/>
      <c r="AR140" s="82"/>
      <c r="AS140" s="82"/>
      <c r="AT140" s="82"/>
      <c r="AU140" s="82"/>
      <c r="AV140" s="82"/>
      <c r="AW140" s="82"/>
      <c r="AX140" s="82"/>
      <c r="AY140" s="82"/>
      <c r="AZ140" s="82"/>
      <c r="BA140" s="82"/>
      <c r="BB140" s="82"/>
      <c r="BC140" s="82"/>
      <c r="BD140" s="82"/>
      <c r="BE140" s="82"/>
      <c r="BF140" s="82"/>
      <c r="BG140" s="82"/>
      <c r="BH140" s="82"/>
      <c r="BI140" s="82"/>
      <c r="BJ140" s="82"/>
      <c r="BK140" s="82"/>
      <c r="BL140" s="82"/>
      <c r="BM140" s="82"/>
    </row>
    <row r="141" spans="1:65" x14ac:dyDescent="0.25">
      <c r="A141" s="82"/>
      <c r="B141" s="82"/>
      <c r="C141" s="82"/>
      <c r="D141" s="82"/>
      <c r="E141" s="82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  <c r="AF141" s="82"/>
      <c r="AG141" s="82"/>
      <c r="AH141" s="82"/>
      <c r="AI141" s="82"/>
      <c r="AJ141" s="82"/>
      <c r="AK141" s="82"/>
      <c r="AL141" s="82"/>
      <c r="AM141" s="82"/>
      <c r="AN141" s="82"/>
      <c r="AO141" s="82"/>
      <c r="AP141" s="82"/>
      <c r="AQ141" s="82"/>
      <c r="AR141" s="82"/>
      <c r="AS141" s="82"/>
      <c r="AT141" s="82"/>
      <c r="AU141" s="82"/>
      <c r="AV141" s="82"/>
      <c r="AW141" s="82"/>
      <c r="AX141" s="82"/>
      <c r="AY141" s="82"/>
      <c r="AZ141" s="82"/>
      <c r="BA141" s="82"/>
      <c r="BB141" s="82"/>
      <c r="BC141" s="82"/>
      <c r="BD141" s="82"/>
      <c r="BE141" s="82"/>
      <c r="BF141" s="82"/>
      <c r="BG141" s="82"/>
      <c r="BH141" s="82"/>
      <c r="BI141" s="82"/>
      <c r="BJ141" s="82"/>
      <c r="BK141" s="82"/>
      <c r="BL141" s="82"/>
      <c r="BM141" s="82"/>
    </row>
    <row r="142" spans="1:65" x14ac:dyDescent="0.25">
      <c r="A142" s="82"/>
      <c r="B142" s="82"/>
      <c r="C142" s="82"/>
      <c r="D142" s="82"/>
      <c r="E142" s="82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  <c r="AF142" s="82"/>
      <c r="AG142" s="82"/>
      <c r="AH142" s="82"/>
      <c r="AI142" s="82"/>
      <c r="AJ142" s="82"/>
      <c r="AK142" s="82"/>
      <c r="AL142" s="82"/>
      <c r="AM142" s="82"/>
      <c r="AN142" s="82"/>
      <c r="AO142" s="82"/>
      <c r="AP142" s="82"/>
      <c r="AQ142" s="82"/>
      <c r="AR142" s="82"/>
      <c r="AS142" s="82"/>
      <c r="AT142" s="82"/>
      <c r="AU142" s="82"/>
      <c r="AV142" s="82"/>
      <c r="AW142" s="82"/>
      <c r="AX142" s="82"/>
      <c r="AY142" s="82"/>
      <c r="AZ142" s="82"/>
      <c r="BA142" s="82"/>
      <c r="BB142" s="82"/>
      <c r="BC142" s="82"/>
      <c r="BD142" s="82"/>
      <c r="BE142" s="82"/>
      <c r="BF142" s="82"/>
      <c r="BG142" s="82"/>
      <c r="BH142" s="82"/>
      <c r="BI142" s="82"/>
      <c r="BJ142" s="82"/>
      <c r="BK142" s="82"/>
      <c r="BL142" s="82"/>
      <c r="BM142" s="82"/>
    </row>
    <row r="143" spans="1:65" x14ac:dyDescent="0.25">
      <c r="A143" s="82"/>
      <c r="B143" s="82"/>
      <c r="C143" s="82"/>
      <c r="D143" s="82"/>
      <c r="E143" s="82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  <c r="AF143" s="82"/>
      <c r="AG143" s="82"/>
      <c r="AH143" s="82"/>
      <c r="AI143" s="82"/>
      <c r="AJ143" s="82"/>
      <c r="AK143" s="82"/>
      <c r="AL143" s="82"/>
      <c r="AM143" s="82"/>
      <c r="AN143" s="82"/>
      <c r="AO143" s="82"/>
      <c r="AP143" s="82"/>
      <c r="AQ143" s="82"/>
      <c r="AR143" s="82"/>
      <c r="AS143" s="82"/>
      <c r="AT143" s="82"/>
      <c r="AU143" s="82"/>
      <c r="AV143" s="82"/>
      <c r="AW143" s="82"/>
      <c r="AX143" s="82"/>
      <c r="AY143" s="82"/>
      <c r="AZ143" s="82"/>
      <c r="BA143" s="82"/>
      <c r="BB143" s="82"/>
      <c r="BC143" s="82"/>
      <c r="BD143" s="82"/>
      <c r="BE143" s="82"/>
      <c r="BF143" s="82"/>
      <c r="BG143" s="82"/>
      <c r="BH143" s="82"/>
      <c r="BI143" s="82"/>
      <c r="BJ143" s="82"/>
      <c r="BK143" s="82"/>
      <c r="BL143" s="82"/>
      <c r="BM143" s="82"/>
    </row>
    <row r="144" spans="1:65" x14ac:dyDescent="0.25">
      <c r="A144" s="82"/>
      <c r="B144" s="82"/>
      <c r="C144" s="82"/>
      <c r="D144" s="82"/>
      <c r="E144" s="82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  <c r="AF144" s="82"/>
      <c r="AG144" s="82"/>
      <c r="AH144" s="82"/>
      <c r="AI144" s="82"/>
      <c r="AJ144" s="82"/>
      <c r="AK144" s="82"/>
      <c r="AL144" s="82"/>
      <c r="AM144" s="82"/>
      <c r="AN144" s="82"/>
      <c r="AO144" s="82"/>
      <c r="AP144" s="82"/>
      <c r="AQ144" s="82"/>
      <c r="AR144" s="82"/>
      <c r="AS144" s="82"/>
      <c r="AT144" s="82"/>
      <c r="AU144" s="82"/>
      <c r="AV144" s="82"/>
      <c r="AW144" s="82"/>
      <c r="AX144" s="82"/>
      <c r="AY144" s="82"/>
      <c r="AZ144" s="82"/>
      <c r="BA144" s="82"/>
      <c r="BB144" s="82"/>
      <c r="BC144" s="82"/>
      <c r="BD144" s="82"/>
      <c r="BE144" s="82"/>
      <c r="BF144" s="82"/>
      <c r="BG144" s="82"/>
      <c r="BH144" s="82"/>
      <c r="BI144" s="82"/>
      <c r="BJ144" s="82"/>
      <c r="BK144" s="82"/>
      <c r="BL144" s="82"/>
      <c r="BM144" s="82"/>
    </row>
    <row r="145" spans="1:65" x14ac:dyDescent="0.25">
      <c r="A145" s="82"/>
      <c r="B145" s="82"/>
      <c r="C145" s="82"/>
      <c r="D145" s="82"/>
      <c r="E145" s="82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  <c r="AF145" s="82"/>
      <c r="AG145" s="82"/>
      <c r="AH145" s="82"/>
      <c r="AI145" s="82"/>
      <c r="AJ145" s="82"/>
      <c r="AK145" s="82"/>
      <c r="AL145" s="82"/>
      <c r="AM145" s="82"/>
      <c r="AN145" s="82"/>
      <c r="AO145" s="82"/>
      <c r="AP145" s="82"/>
      <c r="AQ145" s="82"/>
      <c r="AR145" s="82"/>
      <c r="AS145" s="82"/>
      <c r="AT145" s="82"/>
      <c r="AU145" s="82"/>
      <c r="AV145" s="82"/>
      <c r="AW145" s="82"/>
      <c r="AX145" s="82"/>
      <c r="AY145" s="82"/>
      <c r="AZ145" s="82"/>
      <c r="BA145" s="82"/>
      <c r="BB145" s="82"/>
      <c r="BC145" s="82"/>
      <c r="BD145" s="82"/>
      <c r="BE145" s="82"/>
      <c r="BF145" s="82"/>
      <c r="BG145" s="82"/>
      <c r="BH145" s="82"/>
      <c r="BI145" s="82"/>
      <c r="BJ145" s="82"/>
      <c r="BK145" s="82"/>
      <c r="BL145" s="82"/>
      <c r="BM145" s="82"/>
    </row>
    <row r="146" spans="1:65" x14ac:dyDescent="0.25">
      <c r="A146" s="82"/>
      <c r="B146" s="82"/>
      <c r="C146" s="82"/>
      <c r="D146" s="82"/>
      <c r="E146" s="82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  <c r="AF146" s="82"/>
      <c r="AG146" s="82"/>
      <c r="AH146" s="82"/>
      <c r="AI146" s="82"/>
      <c r="AJ146" s="82"/>
      <c r="AK146" s="82"/>
      <c r="AL146" s="82"/>
      <c r="AM146" s="82"/>
      <c r="AN146" s="82"/>
      <c r="AO146" s="82"/>
      <c r="AP146" s="82"/>
      <c r="AQ146" s="82"/>
      <c r="AR146" s="82"/>
      <c r="AS146" s="82"/>
      <c r="AT146" s="82"/>
      <c r="AU146" s="82"/>
      <c r="AV146" s="82"/>
      <c r="AW146" s="82"/>
      <c r="AX146" s="82"/>
      <c r="AY146" s="82"/>
      <c r="AZ146" s="82"/>
      <c r="BA146" s="82"/>
      <c r="BB146" s="82"/>
      <c r="BC146" s="82"/>
      <c r="BD146" s="82"/>
      <c r="BE146" s="82"/>
      <c r="BF146" s="82"/>
      <c r="BG146" s="82"/>
      <c r="BH146" s="82"/>
      <c r="BI146" s="82"/>
      <c r="BJ146" s="82"/>
      <c r="BK146" s="82"/>
      <c r="BL146" s="82"/>
      <c r="BM146" s="82"/>
    </row>
    <row r="147" spans="1:65" x14ac:dyDescent="0.25">
      <c r="A147" s="82"/>
      <c r="B147" s="82"/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  <c r="AH147" s="82"/>
      <c r="AI147" s="82"/>
      <c r="AJ147" s="82"/>
      <c r="AK147" s="82"/>
      <c r="AL147" s="82"/>
      <c r="AM147" s="82"/>
      <c r="AN147" s="82"/>
      <c r="AO147" s="82"/>
      <c r="AP147" s="82"/>
      <c r="AQ147" s="82"/>
      <c r="AR147" s="82"/>
      <c r="AS147" s="82"/>
      <c r="AT147" s="82"/>
      <c r="AU147" s="82"/>
      <c r="AV147" s="82"/>
      <c r="AW147" s="82"/>
      <c r="AX147" s="82"/>
      <c r="AY147" s="82"/>
      <c r="AZ147" s="82"/>
      <c r="BA147" s="82"/>
      <c r="BB147" s="82"/>
      <c r="BC147" s="82"/>
      <c r="BD147" s="82"/>
      <c r="BE147" s="82"/>
      <c r="BF147" s="82"/>
      <c r="BG147" s="82"/>
      <c r="BH147" s="82"/>
      <c r="BI147" s="82"/>
      <c r="BJ147" s="82"/>
      <c r="BK147" s="82"/>
      <c r="BL147" s="82"/>
      <c r="BM147" s="82"/>
    </row>
    <row r="148" spans="1:65" x14ac:dyDescent="0.25">
      <c r="A148" s="82"/>
      <c r="B148" s="82"/>
      <c r="C148" s="82"/>
      <c r="D148" s="82"/>
      <c r="E148" s="82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  <c r="AF148" s="82"/>
      <c r="AG148" s="82"/>
      <c r="AH148" s="82"/>
      <c r="AI148" s="82"/>
      <c r="AJ148" s="82"/>
      <c r="AK148" s="82"/>
      <c r="AL148" s="82"/>
      <c r="AM148" s="82"/>
      <c r="AN148" s="82"/>
      <c r="AO148" s="82"/>
      <c r="AP148" s="82"/>
      <c r="AQ148" s="82"/>
      <c r="AR148" s="82"/>
      <c r="AS148" s="82"/>
      <c r="AT148" s="82"/>
      <c r="AU148" s="82"/>
      <c r="AV148" s="82"/>
      <c r="AW148" s="82"/>
      <c r="AX148" s="82"/>
      <c r="AY148" s="82"/>
      <c r="AZ148" s="82"/>
      <c r="BA148" s="82"/>
      <c r="BB148" s="82"/>
      <c r="BC148" s="82"/>
      <c r="BD148" s="82"/>
      <c r="BE148" s="82"/>
      <c r="BF148" s="82"/>
      <c r="BG148" s="82"/>
      <c r="BH148" s="82"/>
      <c r="BI148" s="82"/>
      <c r="BJ148" s="82"/>
      <c r="BK148" s="82"/>
      <c r="BL148" s="82"/>
      <c r="BM148" s="82"/>
    </row>
    <row r="149" spans="1:65" x14ac:dyDescent="0.25">
      <c r="A149" s="82"/>
      <c r="B149" s="82"/>
      <c r="C149" s="82"/>
      <c r="D149" s="82"/>
      <c r="E149" s="82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  <c r="AF149" s="82"/>
      <c r="AG149" s="82"/>
      <c r="AH149" s="82"/>
      <c r="AI149" s="82"/>
      <c r="AJ149" s="82"/>
      <c r="AK149" s="82"/>
      <c r="AL149" s="82"/>
      <c r="AM149" s="82"/>
      <c r="AN149" s="82"/>
      <c r="AO149" s="82"/>
      <c r="AP149" s="82"/>
      <c r="AQ149" s="82"/>
      <c r="AR149" s="82"/>
      <c r="AS149" s="82"/>
      <c r="AT149" s="82"/>
      <c r="AU149" s="82"/>
      <c r="AV149" s="82"/>
      <c r="AW149" s="82"/>
      <c r="AX149" s="82"/>
      <c r="AY149" s="82"/>
      <c r="AZ149" s="82"/>
      <c r="BA149" s="82"/>
      <c r="BB149" s="82"/>
      <c r="BC149" s="82"/>
      <c r="BD149" s="82"/>
      <c r="BE149" s="82"/>
      <c r="BF149" s="82"/>
      <c r="BG149" s="82"/>
      <c r="BH149" s="82"/>
      <c r="BI149" s="82"/>
      <c r="BJ149" s="82"/>
      <c r="BK149" s="82"/>
      <c r="BL149" s="82"/>
      <c r="BM149" s="82"/>
    </row>
    <row r="150" spans="1:65" x14ac:dyDescent="0.25">
      <c r="A150" s="82"/>
      <c r="B150" s="82"/>
      <c r="C150" s="82"/>
      <c r="D150" s="82"/>
      <c r="E150" s="82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  <c r="AF150" s="82"/>
      <c r="AG150" s="82"/>
      <c r="AH150" s="82"/>
      <c r="AI150" s="82"/>
      <c r="AJ150" s="82"/>
      <c r="AK150" s="82"/>
      <c r="AL150" s="82"/>
      <c r="AM150" s="82"/>
      <c r="AN150" s="82"/>
      <c r="AO150" s="82"/>
      <c r="AP150" s="82"/>
      <c r="AQ150" s="82"/>
      <c r="AR150" s="82"/>
      <c r="AS150" s="82"/>
      <c r="AT150" s="82"/>
      <c r="AU150" s="82"/>
      <c r="AV150" s="82"/>
      <c r="AW150" s="82"/>
      <c r="AX150" s="82"/>
      <c r="AY150" s="82"/>
      <c r="AZ150" s="82"/>
      <c r="BA150" s="82"/>
      <c r="BB150" s="82"/>
      <c r="BC150" s="82"/>
      <c r="BD150" s="82"/>
      <c r="BE150" s="82"/>
      <c r="BF150" s="82"/>
      <c r="BG150" s="82"/>
      <c r="BH150" s="82"/>
      <c r="BI150" s="82"/>
      <c r="BJ150" s="82"/>
      <c r="BK150" s="82"/>
      <c r="BL150" s="82"/>
      <c r="BM150" s="82"/>
    </row>
    <row r="151" spans="1:65" x14ac:dyDescent="0.25">
      <c r="A151" s="82"/>
      <c r="B151" s="82"/>
      <c r="C151" s="82"/>
      <c r="D151" s="82"/>
      <c r="E151" s="82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  <c r="AF151" s="82"/>
      <c r="AG151" s="82"/>
      <c r="AH151" s="82"/>
      <c r="AI151" s="82"/>
      <c r="AJ151" s="82"/>
      <c r="AK151" s="82"/>
      <c r="AL151" s="82"/>
      <c r="AM151" s="82"/>
      <c r="AN151" s="82"/>
      <c r="AO151" s="82"/>
      <c r="AP151" s="82"/>
      <c r="AQ151" s="82"/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2"/>
      <c r="BI151" s="82"/>
      <c r="BJ151" s="82"/>
      <c r="BK151" s="82"/>
      <c r="BL151" s="82"/>
      <c r="BM151" s="82"/>
    </row>
    <row r="152" spans="1:65" x14ac:dyDescent="0.25">
      <c r="A152" s="82"/>
      <c r="B152" s="82"/>
      <c r="C152" s="82"/>
      <c r="D152" s="82"/>
      <c r="E152" s="82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  <c r="AF152" s="82"/>
      <c r="AG152" s="82"/>
      <c r="AH152" s="82"/>
      <c r="AI152" s="82"/>
      <c r="AJ152" s="82"/>
      <c r="AK152" s="82"/>
      <c r="AL152" s="82"/>
      <c r="AM152" s="82"/>
      <c r="AN152" s="82"/>
      <c r="AO152" s="82"/>
      <c r="AP152" s="82"/>
      <c r="AQ152" s="82"/>
      <c r="AR152" s="82"/>
      <c r="AS152" s="82"/>
      <c r="AT152" s="82"/>
      <c r="AU152" s="82"/>
      <c r="AV152" s="82"/>
      <c r="AW152" s="82"/>
      <c r="AX152" s="82"/>
      <c r="AY152" s="82"/>
      <c r="AZ152" s="82"/>
      <c r="BA152" s="82"/>
      <c r="BB152" s="82"/>
      <c r="BC152" s="82"/>
      <c r="BD152" s="82"/>
      <c r="BE152" s="82"/>
      <c r="BF152" s="82"/>
      <c r="BG152" s="82"/>
      <c r="BH152" s="82"/>
      <c r="BI152" s="82"/>
      <c r="BJ152" s="82"/>
      <c r="BK152" s="82"/>
      <c r="BL152" s="82"/>
      <c r="BM152" s="82"/>
    </row>
    <row r="153" spans="1:65" x14ac:dyDescent="0.25">
      <c r="A153" s="82"/>
      <c r="B153" s="82"/>
      <c r="C153" s="82"/>
      <c r="D153" s="82"/>
      <c r="E153" s="82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  <c r="AF153" s="82"/>
      <c r="AG153" s="82"/>
      <c r="AH153" s="82"/>
      <c r="AI153" s="82"/>
      <c r="AJ153" s="82"/>
      <c r="AK153" s="82"/>
      <c r="AL153" s="82"/>
      <c r="AM153" s="82"/>
      <c r="AN153" s="82"/>
      <c r="AO153" s="82"/>
      <c r="AP153" s="82"/>
      <c r="AQ153" s="82"/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2"/>
      <c r="BI153" s="82"/>
      <c r="BJ153" s="82"/>
      <c r="BK153" s="82"/>
      <c r="BL153" s="82"/>
      <c r="BM153" s="82"/>
    </row>
    <row r="154" spans="1:65" x14ac:dyDescent="0.25">
      <c r="A154" s="82"/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  <c r="AF154" s="82"/>
      <c r="AG154" s="82"/>
      <c r="AH154" s="82"/>
      <c r="AI154" s="82"/>
      <c r="AJ154" s="82"/>
      <c r="AK154" s="82"/>
      <c r="AL154" s="82"/>
      <c r="AM154" s="82"/>
      <c r="AN154" s="82"/>
      <c r="AO154" s="82"/>
      <c r="AP154" s="82"/>
      <c r="AQ154" s="82"/>
      <c r="AR154" s="82"/>
      <c r="AS154" s="82"/>
      <c r="AT154" s="82"/>
      <c r="AU154" s="82"/>
      <c r="AV154" s="82"/>
      <c r="AW154" s="82"/>
      <c r="AX154" s="82"/>
      <c r="AY154" s="82"/>
      <c r="AZ154" s="82"/>
      <c r="BA154" s="82"/>
      <c r="BB154" s="82"/>
      <c r="BC154" s="82"/>
      <c r="BD154" s="82"/>
      <c r="BE154" s="82"/>
      <c r="BF154" s="82"/>
      <c r="BG154" s="82"/>
      <c r="BH154" s="82"/>
      <c r="BI154" s="82"/>
      <c r="BJ154" s="82"/>
      <c r="BK154" s="82"/>
      <c r="BL154" s="82"/>
      <c r="BM154" s="82"/>
    </row>
    <row r="155" spans="1:65" x14ac:dyDescent="0.25">
      <c r="A155" s="82"/>
      <c r="B155" s="82"/>
      <c r="C155" s="82"/>
      <c r="D155" s="82"/>
      <c r="E155" s="82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  <c r="AF155" s="82"/>
      <c r="AG155" s="82"/>
      <c r="AH155" s="82"/>
      <c r="AI155" s="82"/>
      <c r="AJ155" s="82"/>
      <c r="AK155" s="82"/>
      <c r="AL155" s="82"/>
      <c r="AM155" s="82"/>
      <c r="AN155" s="82"/>
      <c r="AO155" s="82"/>
      <c r="AP155" s="82"/>
      <c r="AQ155" s="82"/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2"/>
      <c r="BI155" s="82"/>
      <c r="BJ155" s="82"/>
      <c r="BK155" s="82"/>
      <c r="BL155" s="82"/>
      <c r="BM155" s="82"/>
    </row>
    <row r="156" spans="1:65" x14ac:dyDescent="0.25">
      <c r="A156" s="82"/>
      <c r="B156" s="82"/>
      <c r="C156" s="82"/>
      <c r="D156" s="82"/>
      <c r="E156" s="82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  <c r="AF156" s="82"/>
      <c r="AG156" s="82"/>
      <c r="AH156" s="82"/>
      <c r="AI156" s="82"/>
      <c r="AJ156" s="82"/>
      <c r="AK156" s="82"/>
      <c r="AL156" s="82"/>
      <c r="AM156" s="82"/>
      <c r="AN156" s="82"/>
      <c r="AO156" s="82"/>
      <c r="AP156" s="82"/>
      <c r="AQ156" s="82"/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2"/>
      <c r="BI156" s="82"/>
      <c r="BJ156" s="82"/>
      <c r="BK156" s="82"/>
      <c r="BL156" s="82"/>
      <c r="BM156" s="82"/>
    </row>
    <row r="157" spans="1:65" x14ac:dyDescent="0.25">
      <c r="A157" s="82"/>
      <c r="B157" s="82"/>
      <c r="C157" s="82"/>
      <c r="D157" s="82"/>
      <c r="E157" s="82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  <c r="AF157" s="82"/>
      <c r="AG157" s="82"/>
      <c r="AH157" s="82"/>
      <c r="AI157" s="82"/>
      <c r="AJ157" s="82"/>
      <c r="AK157" s="82"/>
      <c r="AL157" s="82"/>
      <c r="AM157" s="82"/>
      <c r="AN157" s="82"/>
      <c r="AO157" s="82"/>
      <c r="AP157" s="82"/>
      <c r="AQ157" s="82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2"/>
      <c r="BI157" s="82"/>
      <c r="BJ157" s="82"/>
      <c r="BK157" s="82"/>
      <c r="BL157" s="82"/>
      <c r="BM157" s="82"/>
    </row>
    <row r="158" spans="1:65" x14ac:dyDescent="0.25">
      <c r="A158" s="82"/>
      <c r="B158" s="82"/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  <c r="AH158" s="82"/>
      <c r="AI158" s="82"/>
      <c r="AJ158" s="82"/>
      <c r="AK158" s="82"/>
      <c r="AL158" s="82"/>
      <c r="AM158" s="82"/>
      <c r="AN158" s="82"/>
      <c r="AO158" s="82"/>
      <c r="AP158" s="82"/>
      <c r="AQ158" s="82"/>
      <c r="AR158" s="82"/>
      <c r="AS158" s="82"/>
      <c r="AT158" s="82"/>
      <c r="AU158" s="82"/>
      <c r="AV158" s="82"/>
      <c r="AW158" s="82"/>
      <c r="AX158" s="82"/>
      <c r="AY158" s="82"/>
      <c r="AZ158" s="82"/>
      <c r="BA158" s="82"/>
      <c r="BB158" s="82"/>
      <c r="BC158" s="82"/>
      <c r="BD158" s="82"/>
      <c r="BE158" s="82"/>
      <c r="BF158" s="82"/>
      <c r="BG158" s="82"/>
      <c r="BH158" s="82"/>
      <c r="BI158" s="82"/>
      <c r="BJ158" s="82"/>
      <c r="BK158" s="82"/>
      <c r="BL158" s="82"/>
      <c r="BM158" s="82"/>
    </row>
    <row r="159" spans="1:65" x14ac:dyDescent="0.25">
      <c r="A159" s="82"/>
      <c r="B159" s="82"/>
      <c r="C159" s="82"/>
      <c r="D159" s="82"/>
      <c r="E159" s="82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  <c r="AF159" s="82"/>
      <c r="AG159" s="82"/>
      <c r="AH159" s="82"/>
      <c r="AI159" s="82"/>
      <c r="AJ159" s="82"/>
      <c r="AK159" s="82"/>
      <c r="AL159" s="82"/>
      <c r="AM159" s="82"/>
      <c r="AN159" s="82"/>
      <c r="AO159" s="82"/>
      <c r="AP159" s="82"/>
      <c r="AQ159" s="82"/>
      <c r="AR159" s="82"/>
      <c r="AS159" s="82"/>
      <c r="AT159" s="82"/>
      <c r="AU159" s="82"/>
      <c r="AV159" s="82"/>
      <c r="AW159" s="82"/>
      <c r="AX159" s="82"/>
      <c r="AY159" s="82"/>
      <c r="AZ159" s="82"/>
      <c r="BA159" s="82"/>
      <c r="BB159" s="82"/>
      <c r="BC159" s="82"/>
      <c r="BD159" s="82"/>
      <c r="BE159" s="82"/>
      <c r="BF159" s="82"/>
      <c r="BG159" s="82"/>
      <c r="BH159" s="82"/>
      <c r="BI159" s="82"/>
      <c r="BJ159" s="82"/>
      <c r="BK159" s="82"/>
      <c r="BL159" s="82"/>
      <c r="BM159" s="82"/>
    </row>
    <row r="160" spans="1:65" x14ac:dyDescent="0.25">
      <c r="A160" s="82"/>
      <c r="B160" s="82"/>
      <c r="C160" s="82"/>
      <c r="D160" s="82"/>
      <c r="E160" s="82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2"/>
      <c r="AG160" s="82"/>
      <c r="AH160" s="82"/>
      <c r="AI160" s="82"/>
      <c r="AJ160" s="82"/>
      <c r="AK160" s="82"/>
      <c r="AL160" s="82"/>
      <c r="AM160" s="82"/>
      <c r="AN160" s="82"/>
      <c r="AO160" s="82"/>
      <c r="AP160" s="82"/>
      <c r="AQ160" s="82"/>
      <c r="AR160" s="82"/>
      <c r="AS160" s="82"/>
      <c r="AT160" s="82"/>
      <c r="AU160" s="82"/>
      <c r="AV160" s="82"/>
      <c r="AW160" s="82"/>
      <c r="AX160" s="82"/>
      <c r="AY160" s="82"/>
      <c r="AZ160" s="82"/>
      <c r="BA160" s="82"/>
      <c r="BB160" s="82"/>
      <c r="BC160" s="82"/>
      <c r="BD160" s="82"/>
      <c r="BE160" s="82"/>
      <c r="BF160" s="82"/>
      <c r="BG160" s="82"/>
      <c r="BH160" s="82"/>
      <c r="BI160" s="82"/>
      <c r="BJ160" s="82"/>
      <c r="BK160" s="82"/>
      <c r="BL160" s="82"/>
      <c r="BM160" s="82"/>
    </row>
    <row r="161" spans="1:65" x14ac:dyDescent="0.25">
      <c r="A161" s="82"/>
      <c r="B161" s="82"/>
      <c r="C161" s="82"/>
      <c r="D161" s="82"/>
      <c r="E161" s="82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  <c r="AF161" s="82"/>
      <c r="AG161" s="82"/>
      <c r="AH161" s="82"/>
      <c r="AI161" s="82"/>
      <c r="AJ161" s="82"/>
      <c r="AK161" s="82"/>
      <c r="AL161" s="82"/>
      <c r="AM161" s="82"/>
      <c r="AN161" s="82"/>
      <c r="AO161" s="82"/>
      <c r="AP161" s="82"/>
      <c r="AQ161" s="82"/>
      <c r="AR161" s="82"/>
      <c r="AS161" s="82"/>
      <c r="AT161" s="82"/>
      <c r="AU161" s="82"/>
      <c r="AV161" s="82"/>
      <c r="AW161" s="82"/>
      <c r="AX161" s="82"/>
      <c r="AY161" s="82"/>
      <c r="AZ161" s="82"/>
      <c r="BA161" s="82"/>
      <c r="BB161" s="82"/>
      <c r="BC161" s="82"/>
      <c r="BD161" s="82"/>
      <c r="BE161" s="82"/>
      <c r="BF161" s="82"/>
      <c r="BG161" s="82"/>
      <c r="BH161" s="82"/>
      <c r="BI161" s="82"/>
      <c r="BJ161" s="82"/>
      <c r="BK161" s="82"/>
      <c r="BL161" s="82"/>
      <c r="BM161" s="82"/>
    </row>
    <row r="162" spans="1:65" x14ac:dyDescent="0.25">
      <c r="A162" s="82"/>
      <c r="B162" s="82"/>
      <c r="C162" s="82"/>
      <c r="D162" s="82"/>
      <c r="E162" s="82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2"/>
      <c r="AG162" s="82"/>
      <c r="AH162" s="82"/>
      <c r="AI162" s="82"/>
      <c r="AJ162" s="82"/>
      <c r="AK162" s="82"/>
      <c r="AL162" s="82"/>
      <c r="AM162" s="82"/>
      <c r="AN162" s="82"/>
      <c r="AO162" s="82"/>
      <c r="AP162" s="82"/>
      <c r="AQ162" s="82"/>
      <c r="AR162" s="82"/>
      <c r="AS162" s="82"/>
      <c r="AT162" s="82"/>
      <c r="AU162" s="82"/>
      <c r="AV162" s="82"/>
      <c r="AW162" s="82"/>
      <c r="AX162" s="82"/>
      <c r="AY162" s="82"/>
      <c r="AZ162" s="82"/>
      <c r="BA162" s="82"/>
      <c r="BB162" s="82"/>
      <c r="BC162" s="82"/>
      <c r="BD162" s="82"/>
      <c r="BE162" s="82"/>
      <c r="BF162" s="82"/>
      <c r="BG162" s="82"/>
      <c r="BH162" s="82"/>
      <c r="BI162" s="82"/>
      <c r="BJ162" s="82"/>
      <c r="BK162" s="82"/>
      <c r="BL162" s="82"/>
      <c r="BM162" s="82"/>
    </row>
    <row r="163" spans="1:65" x14ac:dyDescent="0.25">
      <c r="A163" s="82"/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  <c r="AF163" s="82"/>
      <c r="AG163" s="82"/>
      <c r="AH163" s="82"/>
      <c r="AI163" s="82"/>
      <c r="AJ163" s="82"/>
      <c r="AK163" s="82"/>
      <c r="AL163" s="82"/>
      <c r="AM163" s="82"/>
      <c r="AN163" s="82"/>
      <c r="AO163" s="82"/>
      <c r="AP163" s="82"/>
      <c r="AQ163" s="82"/>
      <c r="AR163" s="82"/>
      <c r="AS163" s="82"/>
      <c r="AT163" s="82"/>
      <c r="AU163" s="82"/>
      <c r="AV163" s="82"/>
      <c r="AW163" s="82"/>
      <c r="AX163" s="82"/>
      <c r="AY163" s="82"/>
      <c r="AZ163" s="82"/>
      <c r="BA163" s="82"/>
      <c r="BB163" s="82"/>
      <c r="BC163" s="82"/>
      <c r="BD163" s="82"/>
      <c r="BE163" s="82"/>
      <c r="BF163" s="82"/>
      <c r="BG163" s="82"/>
      <c r="BH163" s="82"/>
      <c r="BI163" s="82"/>
      <c r="BJ163" s="82"/>
      <c r="BK163" s="82"/>
      <c r="BL163" s="82"/>
      <c r="BM163" s="82"/>
    </row>
    <row r="164" spans="1:65" x14ac:dyDescent="0.25">
      <c r="A164" s="82"/>
      <c r="B164" s="82"/>
      <c r="C164" s="82"/>
      <c r="D164" s="82"/>
      <c r="E164" s="82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2"/>
      <c r="AG164" s="82"/>
      <c r="AH164" s="82"/>
      <c r="AI164" s="82"/>
      <c r="AJ164" s="82"/>
      <c r="AK164" s="82"/>
      <c r="AL164" s="82"/>
      <c r="AM164" s="82"/>
      <c r="AN164" s="82"/>
      <c r="AO164" s="82"/>
      <c r="AP164" s="82"/>
      <c r="AQ164" s="82"/>
      <c r="AR164" s="82"/>
      <c r="AS164" s="82"/>
      <c r="AT164" s="82"/>
      <c r="AU164" s="82"/>
      <c r="AV164" s="82"/>
      <c r="AW164" s="82"/>
      <c r="AX164" s="82"/>
      <c r="AY164" s="82"/>
      <c r="AZ164" s="82"/>
      <c r="BA164" s="82"/>
      <c r="BB164" s="82"/>
      <c r="BC164" s="82"/>
      <c r="BD164" s="82"/>
      <c r="BE164" s="82"/>
      <c r="BF164" s="82"/>
      <c r="BG164" s="82"/>
      <c r="BH164" s="82"/>
      <c r="BI164" s="82"/>
      <c r="BJ164" s="82"/>
      <c r="BK164" s="82"/>
      <c r="BL164" s="82"/>
      <c r="BM164" s="82"/>
    </row>
    <row r="165" spans="1:65" x14ac:dyDescent="0.25">
      <c r="A165" s="82"/>
      <c r="B165" s="82"/>
      <c r="C165" s="82"/>
      <c r="D165" s="82"/>
      <c r="E165" s="82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  <c r="AF165" s="82"/>
      <c r="AG165" s="82"/>
      <c r="AH165" s="82"/>
      <c r="AI165" s="82"/>
      <c r="AJ165" s="82"/>
      <c r="AK165" s="82"/>
      <c r="AL165" s="82"/>
      <c r="AM165" s="82"/>
      <c r="AN165" s="82"/>
      <c r="AO165" s="82"/>
      <c r="AP165" s="82"/>
      <c r="AQ165" s="82"/>
      <c r="AR165" s="82"/>
      <c r="AS165" s="82"/>
      <c r="AT165" s="82"/>
      <c r="AU165" s="82"/>
      <c r="AV165" s="82"/>
      <c r="AW165" s="82"/>
      <c r="AX165" s="82"/>
      <c r="AY165" s="82"/>
      <c r="AZ165" s="82"/>
      <c r="BA165" s="82"/>
      <c r="BB165" s="82"/>
      <c r="BC165" s="82"/>
      <c r="BD165" s="82"/>
      <c r="BE165" s="82"/>
      <c r="BF165" s="82"/>
      <c r="BG165" s="82"/>
      <c r="BH165" s="82"/>
      <c r="BI165" s="82"/>
      <c r="BJ165" s="82"/>
      <c r="BK165" s="82"/>
      <c r="BL165" s="82"/>
      <c r="BM165" s="82"/>
    </row>
    <row r="166" spans="1:65" x14ac:dyDescent="0.25">
      <c r="A166" s="82"/>
      <c r="B166" s="82"/>
      <c r="C166" s="82"/>
      <c r="D166" s="82"/>
      <c r="E166" s="82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  <c r="AF166" s="82"/>
      <c r="AG166" s="82"/>
      <c r="AH166" s="82"/>
      <c r="AI166" s="82"/>
      <c r="AJ166" s="82"/>
      <c r="AK166" s="82"/>
      <c r="AL166" s="82"/>
      <c r="AM166" s="82"/>
      <c r="AN166" s="82"/>
      <c r="AO166" s="82"/>
      <c r="AP166" s="82"/>
      <c r="AQ166" s="82"/>
      <c r="AR166" s="82"/>
      <c r="AS166" s="82"/>
      <c r="AT166" s="82"/>
      <c r="AU166" s="82"/>
      <c r="AV166" s="82"/>
      <c r="AW166" s="82"/>
      <c r="AX166" s="82"/>
      <c r="AY166" s="82"/>
      <c r="AZ166" s="82"/>
      <c r="BA166" s="82"/>
      <c r="BB166" s="82"/>
      <c r="BC166" s="82"/>
      <c r="BD166" s="82"/>
      <c r="BE166" s="82"/>
      <c r="BF166" s="82"/>
      <c r="BG166" s="82"/>
      <c r="BH166" s="82"/>
      <c r="BI166" s="82"/>
      <c r="BJ166" s="82"/>
      <c r="BK166" s="82"/>
      <c r="BL166" s="82"/>
      <c r="BM166" s="82"/>
    </row>
    <row r="167" spans="1:65" x14ac:dyDescent="0.25">
      <c r="A167" s="82"/>
      <c r="B167" s="82"/>
      <c r="C167" s="82"/>
      <c r="D167" s="82"/>
      <c r="E167" s="82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  <c r="AF167" s="82"/>
      <c r="AG167" s="82"/>
      <c r="AH167" s="82"/>
      <c r="AI167" s="82"/>
      <c r="AJ167" s="82"/>
      <c r="AK167" s="82"/>
      <c r="AL167" s="82"/>
      <c r="AM167" s="82"/>
      <c r="AN167" s="82"/>
      <c r="AO167" s="82"/>
      <c r="AP167" s="82"/>
      <c r="AQ167" s="82"/>
      <c r="AR167" s="82"/>
      <c r="AS167" s="82"/>
      <c r="AT167" s="82"/>
      <c r="AU167" s="82"/>
      <c r="AV167" s="82"/>
      <c r="AW167" s="82"/>
      <c r="AX167" s="82"/>
      <c r="AY167" s="82"/>
      <c r="AZ167" s="82"/>
      <c r="BA167" s="82"/>
      <c r="BB167" s="82"/>
      <c r="BC167" s="82"/>
      <c r="BD167" s="82"/>
      <c r="BE167" s="82"/>
      <c r="BF167" s="82"/>
      <c r="BG167" s="82"/>
      <c r="BH167" s="82"/>
      <c r="BI167" s="82"/>
      <c r="BJ167" s="82"/>
      <c r="BK167" s="82"/>
      <c r="BL167" s="82"/>
      <c r="BM167" s="82"/>
    </row>
    <row r="168" spans="1:65" x14ac:dyDescent="0.25">
      <c r="A168" s="82"/>
      <c r="B168" s="82"/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M168" s="82"/>
      <c r="AN168" s="82"/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  <c r="BD168" s="82"/>
      <c r="BE168" s="82"/>
      <c r="BF168" s="82"/>
      <c r="BG168" s="82"/>
      <c r="BH168" s="82"/>
      <c r="BI168" s="82"/>
      <c r="BJ168" s="82"/>
      <c r="BK168" s="82"/>
      <c r="BL168" s="82"/>
      <c r="BM168" s="82"/>
    </row>
    <row r="169" spans="1:65" x14ac:dyDescent="0.25">
      <c r="A169" s="82"/>
      <c r="B169" s="82"/>
      <c r="C169" s="82"/>
      <c r="D169" s="82"/>
      <c r="E169" s="82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  <c r="AF169" s="82"/>
      <c r="AG169" s="82"/>
      <c r="AH169" s="82"/>
      <c r="AI169" s="82"/>
      <c r="AJ169" s="82"/>
      <c r="AK169" s="82"/>
      <c r="AL169" s="82"/>
      <c r="AM169" s="82"/>
      <c r="AN169" s="82"/>
      <c r="AO169" s="82"/>
      <c r="AP169" s="82"/>
      <c r="AQ169" s="82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2"/>
      <c r="BI169" s="82"/>
      <c r="BJ169" s="82"/>
      <c r="BK169" s="82"/>
      <c r="BL169" s="82"/>
      <c r="BM169" s="82"/>
    </row>
    <row r="170" spans="1:65" x14ac:dyDescent="0.25">
      <c r="A170" s="82"/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  <c r="AH170" s="82"/>
      <c r="AI170" s="82"/>
      <c r="AJ170" s="82"/>
      <c r="AK170" s="82"/>
      <c r="AL170" s="82"/>
      <c r="AM170" s="82"/>
      <c r="AN170" s="82"/>
      <c r="AO170" s="82"/>
      <c r="AP170" s="82"/>
      <c r="AQ170" s="82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2"/>
      <c r="BI170" s="82"/>
      <c r="BJ170" s="82"/>
      <c r="BK170" s="82"/>
      <c r="BL170" s="82"/>
      <c r="BM170" s="82"/>
    </row>
    <row r="171" spans="1:65" x14ac:dyDescent="0.25">
      <c r="A171" s="82"/>
      <c r="B171" s="82"/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  <c r="AH171" s="82"/>
      <c r="AI171" s="82"/>
      <c r="AJ171" s="82"/>
      <c r="AK171" s="82"/>
      <c r="AL171" s="82"/>
      <c r="AM171" s="82"/>
      <c r="AN171" s="82"/>
      <c r="AO171" s="82"/>
      <c r="AP171" s="82"/>
      <c r="AQ171" s="82"/>
      <c r="AR171" s="82"/>
      <c r="AS171" s="82"/>
      <c r="AT171" s="82"/>
      <c r="AU171" s="82"/>
      <c r="AV171" s="82"/>
      <c r="AW171" s="82"/>
      <c r="AX171" s="82"/>
      <c r="AY171" s="82"/>
      <c r="AZ171" s="82"/>
      <c r="BA171" s="82"/>
      <c r="BB171" s="82"/>
      <c r="BC171" s="82"/>
      <c r="BD171" s="82"/>
      <c r="BE171" s="82"/>
      <c r="BF171" s="82"/>
      <c r="BG171" s="82"/>
      <c r="BH171" s="82"/>
      <c r="BI171" s="82"/>
      <c r="BJ171" s="82"/>
      <c r="BK171" s="82"/>
      <c r="BL171" s="82"/>
      <c r="BM171" s="82"/>
    </row>
    <row r="172" spans="1:65" x14ac:dyDescent="0.25">
      <c r="A172" s="82"/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  <c r="AH172" s="82"/>
      <c r="AI172" s="82"/>
      <c r="AJ172" s="82"/>
      <c r="AK172" s="82"/>
      <c r="AL172" s="82"/>
      <c r="AM172" s="82"/>
      <c r="AN172" s="82"/>
      <c r="AO172" s="82"/>
      <c r="AP172" s="82"/>
      <c r="AQ172" s="82"/>
      <c r="AR172" s="82"/>
      <c r="AS172" s="82"/>
      <c r="AT172" s="82"/>
      <c r="AU172" s="82"/>
      <c r="AV172" s="82"/>
      <c r="AW172" s="82"/>
      <c r="AX172" s="82"/>
      <c r="AY172" s="82"/>
      <c r="AZ172" s="82"/>
      <c r="BA172" s="82"/>
      <c r="BB172" s="82"/>
      <c r="BC172" s="82"/>
      <c r="BD172" s="82"/>
      <c r="BE172" s="82"/>
      <c r="BF172" s="82"/>
      <c r="BG172" s="82"/>
      <c r="BH172" s="82"/>
      <c r="BI172" s="82"/>
      <c r="BJ172" s="82"/>
      <c r="BK172" s="82"/>
      <c r="BL172" s="82"/>
      <c r="BM172" s="82"/>
    </row>
    <row r="173" spans="1:65" x14ac:dyDescent="0.25">
      <c r="A173" s="82"/>
      <c r="B173" s="82"/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  <c r="AH173" s="82"/>
      <c r="AI173" s="82"/>
      <c r="AJ173" s="82"/>
      <c r="AK173" s="82"/>
      <c r="AL173" s="82"/>
      <c r="AM173" s="82"/>
      <c r="AN173" s="82"/>
      <c r="AO173" s="82"/>
      <c r="AP173" s="82"/>
      <c r="AQ173" s="82"/>
      <c r="AR173" s="82"/>
      <c r="AS173" s="82"/>
      <c r="AT173" s="82"/>
      <c r="AU173" s="82"/>
      <c r="AV173" s="82"/>
      <c r="AW173" s="82"/>
      <c r="AX173" s="82"/>
      <c r="AY173" s="82"/>
      <c r="AZ173" s="82"/>
      <c r="BA173" s="82"/>
      <c r="BB173" s="82"/>
      <c r="BC173" s="82"/>
      <c r="BD173" s="82"/>
      <c r="BE173" s="82"/>
      <c r="BF173" s="82"/>
      <c r="BG173" s="82"/>
      <c r="BH173" s="82"/>
      <c r="BI173" s="82"/>
      <c r="BJ173" s="82"/>
      <c r="BK173" s="82"/>
      <c r="BL173" s="82"/>
      <c r="BM173" s="82"/>
    </row>
    <row r="174" spans="1:65" x14ac:dyDescent="0.25">
      <c r="A174" s="82"/>
      <c r="B174" s="82"/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  <c r="AH174" s="82"/>
      <c r="AI174" s="82"/>
      <c r="AJ174" s="82"/>
      <c r="AK174" s="82"/>
      <c r="AL174" s="82"/>
      <c r="AM174" s="82"/>
      <c r="AN174" s="82"/>
      <c r="AO174" s="82"/>
      <c r="AP174" s="82"/>
      <c r="AQ174" s="82"/>
      <c r="AR174" s="82"/>
      <c r="AS174" s="82"/>
      <c r="AT174" s="82"/>
      <c r="AU174" s="82"/>
      <c r="AV174" s="82"/>
      <c r="AW174" s="82"/>
      <c r="AX174" s="82"/>
      <c r="AY174" s="82"/>
      <c r="AZ174" s="82"/>
      <c r="BA174" s="82"/>
      <c r="BB174" s="82"/>
      <c r="BC174" s="82"/>
      <c r="BD174" s="82"/>
      <c r="BE174" s="82"/>
      <c r="BF174" s="82"/>
      <c r="BG174" s="82"/>
      <c r="BH174" s="82"/>
      <c r="BI174" s="82"/>
      <c r="BJ174" s="82"/>
      <c r="BK174" s="82"/>
      <c r="BL174" s="82"/>
      <c r="BM174" s="82"/>
    </row>
    <row r="175" spans="1:65" x14ac:dyDescent="0.25">
      <c r="A175" s="82"/>
      <c r="B175" s="82"/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  <c r="AF175" s="82"/>
      <c r="AG175" s="82"/>
      <c r="AH175" s="82"/>
      <c r="AI175" s="82"/>
      <c r="AJ175" s="82"/>
      <c r="AK175" s="82"/>
      <c r="AL175" s="82"/>
      <c r="AM175" s="82"/>
      <c r="AN175" s="82"/>
      <c r="AO175" s="82"/>
      <c r="AP175" s="82"/>
      <c r="AQ175" s="82"/>
      <c r="AR175" s="82"/>
      <c r="AS175" s="82"/>
      <c r="AT175" s="82"/>
      <c r="AU175" s="82"/>
      <c r="AV175" s="82"/>
      <c r="AW175" s="82"/>
      <c r="AX175" s="82"/>
      <c r="AY175" s="82"/>
      <c r="AZ175" s="82"/>
      <c r="BA175" s="82"/>
      <c r="BB175" s="82"/>
      <c r="BC175" s="82"/>
      <c r="BD175" s="82"/>
      <c r="BE175" s="82"/>
      <c r="BF175" s="82"/>
      <c r="BG175" s="82"/>
      <c r="BH175" s="82"/>
      <c r="BI175" s="82"/>
      <c r="BJ175" s="82"/>
      <c r="BK175" s="82"/>
      <c r="BL175" s="82"/>
      <c r="BM175" s="82"/>
    </row>
    <row r="176" spans="1:65" x14ac:dyDescent="0.25">
      <c r="A176" s="82"/>
      <c r="B176" s="82"/>
      <c r="C176" s="82"/>
      <c r="D176" s="82"/>
      <c r="E176" s="82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  <c r="AF176" s="82"/>
      <c r="AG176" s="82"/>
      <c r="AH176" s="82"/>
      <c r="AI176" s="82"/>
      <c r="AJ176" s="82"/>
      <c r="AK176" s="82"/>
      <c r="AL176" s="82"/>
      <c r="AM176" s="82"/>
      <c r="AN176" s="82"/>
      <c r="AO176" s="82"/>
      <c r="AP176" s="82"/>
      <c r="AQ176" s="82"/>
      <c r="AR176" s="82"/>
      <c r="AS176" s="82"/>
      <c r="AT176" s="82"/>
      <c r="AU176" s="82"/>
      <c r="AV176" s="82"/>
      <c r="AW176" s="82"/>
      <c r="AX176" s="82"/>
      <c r="AY176" s="82"/>
      <c r="AZ176" s="82"/>
      <c r="BA176" s="82"/>
      <c r="BB176" s="82"/>
      <c r="BC176" s="82"/>
      <c r="BD176" s="82"/>
      <c r="BE176" s="82"/>
      <c r="BF176" s="82"/>
      <c r="BG176" s="82"/>
      <c r="BH176" s="82"/>
      <c r="BI176" s="82"/>
      <c r="BJ176" s="82"/>
      <c r="BK176" s="82"/>
      <c r="BL176" s="82"/>
      <c r="BM176" s="82"/>
    </row>
    <row r="177" spans="1:65" x14ac:dyDescent="0.25">
      <c r="A177" s="82"/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  <c r="AF177" s="82"/>
      <c r="AG177" s="82"/>
      <c r="AH177" s="82"/>
      <c r="AI177" s="82"/>
      <c r="AJ177" s="82"/>
      <c r="AK177" s="82"/>
      <c r="AL177" s="82"/>
      <c r="AM177" s="82"/>
      <c r="AN177" s="82"/>
      <c r="AO177" s="82"/>
      <c r="AP177" s="82"/>
      <c r="AQ177" s="82"/>
      <c r="AR177" s="82"/>
      <c r="AS177" s="82"/>
      <c r="AT177" s="82"/>
      <c r="AU177" s="82"/>
      <c r="AV177" s="82"/>
      <c r="AW177" s="82"/>
      <c r="AX177" s="82"/>
      <c r="AY177" s="82"/>
      <c r="AZ177" s="82"/>
      <c r="BA177" s="82"/>
      <c r="BB177" s="82"/>
      <c r="BC177" s="82"/>
      <c r="BD177" s="82"/>
      <c r="BE177" s="82"/>
      <c r="BF177" s="82"/>
      <c r="BG177" s="82"/>
      <c r="BH177" s="82"/>
      <c r="BI177" s="82"/>
      <c r="BJ177" s="82"/>
      <c r="BK177" s="82"/>
      <c r="BL177" s="82"/>
      <c r="BM177" s="82"/>
    </row>
    <row r="178" spans="1:65" x14ac:dyDescent="0.25">
      <c r="A178" s="82"/>
      <c r="B178" s="82"/>
      <c r="C178" s="82"/>
      <c r="D178" s="82"/>
      <c r="E178" s="82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  <c r="AF178" s="82"/>
      <c r="AG178" s="82"/>
      <c r="AH178" s="82"/>
      <c r="AI178" s="82"/>
      <c r="AJ178" s="82"/>
      <c r="AK178" s="82"/>
      <c r="AL178" s="82"/>
      <c r="AM178" s="82"/>
      <c r="AN178" s="82"/>
      <c r="AO178" s="82"/>
      <c r="AP178" s="82"/>
      <c r="AQ178" s="82"/>
      <c r="AR178" s="82"/>
      <c r="AS178" s="82"/>
      <c r="AT178" s="82"/>
      <c r="AU178" s="82"/>
      <c r="AV178" s="82"/>
      <c r="AW178" s="82"/>
      <c r="AX178" s="82"/>
      <c r="AY178" s="82"/>
      <c r="AZ178" s="82"/>
      <c r="BA178" s="82"/>
      <c r="BB178" s="82"/>
      <c r="BC178" s="82"/>
      <c r="BD178" s="82"/>
      <c r="BE178" s="82"/>
      <c r="BF178" s="82"/>
      <c r="BG178" s="82"/>
      <c r="BH178" s="82"/>
      <c r="BI178" s="82"/>
      <c r="BJ178" s="82"/>
      <c r="BK178" s="82"/>
      <c r="BL178" s="82"/>
      <c r="BM178" s="82"/>
    </row>
    <row r="179" spans="1:65" x14ac:dyDescent="0.25">
      <c r="A179" s="82"/>
      <c r="B179" s="82"/>
      <c r="C179" s="82"/>
      <c r="D179" s="82"/>
      <c r="E179" s="82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  <c r="AF179" s="82"/>
      <c r="AG179" s="82"/>
      <c r="AH179" s="82"/>
      <c r="AI179" s="82"/>
      <c r="AJ179" s="82"/>
      <c r="AK179" s="82"/>
      <c r="AL179" s="82"/>
      <c r="AM179" s="82"/>
      <c r="AN179" s="82"/>
      <c r="AO179" s="82"/>
      <c r="AP179" s="82"/>
      <c r="AQ179" s="82"/>
      <c r="AR179" s="82"/>
      <c r="AS179" s="82"/>
      <c r="AT179" s="82"/>
      <c r="AU179" s="82"/>
      <c r="AV179" s="82"/>
      <c r="AW179" s="82"/>
      <c r="AX179" s="82"/>
      <c r="AY179" s="82"/>
      <c r="AZ179" s="82"/>
      <c r="BA179" s="82"/>
      <c r="BB179" s="82"/>
      <c r="BC179" s="82"/>
      <c r="BD179" s="82"/>
      <c r="BE179" s="82"/>
      <c r="BF179" s="82"/>
      <c r="BG179" s="82"/>
      <c r="BH179" s="82"/>
      <c r="BI179" s="82"/>
      <c r="BJ179" s="82"/>
      <c r="BK179" s="82"/>
      <c r="BL179" s="82"/>
      <c r="BM179" s="82"/>
    </row>
    <row r="180" spans="1:65" x14ac:dyDescent="0.25">
      <c r="A180" s="82"/>
      <c r="B180" s="82"/>
      <c r="C180" s="82"/>
      <c r="D180" s="82"/>
      <c r="E180" s="82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  <c r="AF180" s="82"/>
      <c r="AG180" s="82"/>
      <c r="AH180" s="82"/>
      <c r="AI180" s="82"/>
      <c r="AJ180" s="82"/>
      <c r="AK180" s="82"/>
      <c r="AL180" s="82"/>
      <c r="AM180" s="82"/>
      <c r="AN180" s="82"/>
      <c r="AO180" s="82"/>
      <c r="AP180" s="82"/>
      <c r="AQ180" s="82"/>
      <c r="AR180" s="82"/>
      <c r="AS180" s="82"/>
      <c r="AT180" s="82"/>
      <c r="AU180" s="82"/>
      <c r="AV180" s="82"/>
      <c r="AW180" s="82"/>
      <c r="AX180" s="82"/>
      <c r="AY180" s="82"/>
      <c r="AZ180" s="82"/>
      <c r="BA180" s="82"/>
      <c r="BB180" s="82"/>
      <c r="BC180" s="82"/>
      <c r="BD180" s="82"/>
      <c r="BE180" s="82"/>
      <c r="BF180" s="82"/>
      <c r="BG180" s="82"/>
      <c r="BH180" s="82"/>
      <c r="BI180" s="82"/>
      <c r="BJ180" s="82"/>
      <c r="BK180" s="82"/>
      <c r="BL180" s="82"/>
      <c r="BM180" s="82"/>
    </row>
    <row r="181" spans="1:65" x14ac:dyDescent="0.25">
      <c r="A181" s="82"/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  <c r="AF181" s="82"/>
      <c r="AG181" s="82"/>
      <c r="AH181" s="82"/>
      <c r="AI181" s="82"/>
      <c r="AJ181" s="82"/>
      <c r="AK181" s="82"/>
      <c r="AL181" s="82"/>
      <c r="AM181" s="82"/>
      <c r="AN181" s="82"/>
      <c r="AO181" s="82"/>
      <c r="AP181" s="82"/>
      <c r="AQ181" s="82"/>
      <c r="AR181" s="82"/>
      <c r="AS181" s="82"/>
      <c r="AT181" s="82"/>
      <c r="AU181" s="82"/>
      <c r="AV181" s="82"/>
      <c r="AW181" s="82"/>
      <c r="AX181" s="82"/>
      <c r="AY181" s="82"/>
      <c r="AZ181" s="82"/>
      <c r="BA181" s="82"/>
      <c r="BB181" s="82"/>
      <c r="BC181" s="82"/>
      <c r="BD181" s="82"/>
      <c r="BE181" s="82"/>
      <c r="BF181" s="82"/>
      <c r="BG181" s="82"/>
      <c r="BH181" s="82"/>
      <c r="BI181" s="82"/>
      <c r="BJ181" s="82"/>
      <c r="BK181" s="82"/>
      <c r="BL181" s="82"/>
      <c r="BM181" s="82"/>
    </row>
    <row r="182" spans="1:65" x14ac:dyDescent="0.25">
      <c r="A182" s="82"/>
      <c r="B182" s="82"/>
      <c r="C182" s="82"/>
      <c r="D182" s="82"/>
      <c r="E182" s="82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  <c r="AF182" s="82"/>
      <c r="AG182" s="82"/>
      <c r="AH182" s="82"/>
      <c r="AI182" s="82"/>
      <c r="AJ182" s="82"/>
      <c r="AK182" s="82"/>
      <c r="AL182" s="82"/>
      <c r="AM182" s="82"/>
      <c r="AN182" s="82"/>
      <c r="AO182" s="82"/>
      <c r="AP182" s="82"/>
      <c r="AQ182" s="82"/>
      <c r="AR182" s="82"/>
      <c r="AS182" s="82"/>
      <c r="AT182" s="82"/>
      <c r="AU182" s="82"/>
      <c r="AV182" s="82"/>
      <c r="AW182" s="82"/>
      <c r="AX182" s="82"/>
      <c r="AY182" s="82"/>
      <c r="AZ182" s="82"/>
      <c r="BA182" s="82"/>
      <c r="BB182" s="82"/>
      <c r="BC182" s="82"/>
      <c r="BD182" s="82"/>
      <c r="BE182" s="82"/>
      <c r="BF182" s="82"/>
      <c r="BG182" s="82"/>
      <c r="BH182" s="82"/>
      <c r="BI182" s="82"/>
      <c r="BJ182" s="82"/>
      <c r="BK182" s="82"/>
      <c r="BL182" s="82"/>
      <c r="BM182" s="82"/>
    </row>
    <row r="183" spans="1:65" x14ac:dyDescent="0.25">
      <c r="A183" s="82"/>
      <c r="B183" s="82"/>
      <c r="C183" s="82"/>
      <c r="D183" s="82"/>
      <c r="E183" s="82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  <c r="AF183" s="82"/>
      <c r="AG183" s="82"/>
      <c r="AH183" s="82"/>
      <c r="AI183" s="82"/>
      <c r="AJ183" s="82"/>
      <c r="AK183" s="82"/>
      <c r="AL183" s="82"/>
      <c r="AM183" s="82"/>
      <c r="AN183" s="82"/>
      <c r="AO183" s="82"/>
      <c r="AP183" s="82"/>
      <c r="AQ183" s="82"/>
      <c r="AR183" s="82"/>
      <c r="AS183" s="82"/>
      <c r="AT183" s="82"/>
      <c r="AU183" s="82"/>
      <c r="AV183" s="82"/>
      <c r="AW183" s="82"/>
      <c r="AX183" s="82"/>
      <c r="AY183" s="82"/>
      <c r="AZ183" s="82"/>
      <c r="BA183" s="82"/>
      <c r="BB183" s="82"/>
      <c r="BC183" s="82"/>
      <c r="BD183" s="82"/>
      <c r="BE183" s="82"/>
      <c r="BF183" s="82"/>
      <c r="BG183" s="82"/>
      <c r="BH183" s="82"/>
      <c r="BI183" s="82"/>
      <c r="BJ183" s="82"/>
      <c r="BK183" s="82"/>
      <c r="BL183" s="82"/>
      <c r="BM183" s="82"/>
    </row>
    <row r="184" spans="1:65" x14ac:dyDescent="0.25">
      <c r="A184" s="82"/>
      <c r="B184" s="82"/>
      <c r="C184" s="82"/>
      <c r="D184" s="82"/>
      <c r="E184" s="82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2"/>
      <c r="AG184" s="82"/>
      <c r="AH184" s="82"/>
      <c r="AI184" s="82"/>
      <c r="AJ184" s="82"/>
      <c r="AK184" s="82"/>
      <c r="AL184" s="82"/>
      <c r="AM184" s="82"/>
      <c r="AN184" s="82"/>
      <c r="AO184" s="82"/>
      <c r="AP184" s="82"/>
      <c r="AQ184" s="82"/>
      <c r="AR184" s="82"/>
      <c r="AS184" s="82"/>
      <c r="AT184" s="82"/>
      <c r="AU184" s="82"/>
      <c r="AV184" s="82"/>
      <c r="AW184" s="82"/>
      <c r="AX184" s="82"/>
      <c r="AY184" s="82"/>
      <c r="AZ184" s="82"/>
      <c r="BA184" s="82"/>
      <c r="BB184" s="82"/>
      <c r="BC184" s="82"/>
      <c r="BD184" s="82"/>
      <c r="BE184" s="82"/>
      <c r="BF184" s="82"/>
      <c r="BG184" s="82"/>
      <c r="BH184" s="82"/>
      <c r="BI184" s="82"/>
      <c r="BJ184" s="82"/>
      <c r="BK184" s="82"/>
      <c r="BL184" s="82"/>
      <c r="BM184" s="82"/>
    </row>
    <row r="185" spans="1:65" x14ac:dyDescent="0.25">
      <c r="A185" s="82"/>
      <c r="B185" s="8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  <c r="AH185" s="82"/>
      <c r="AI185" s="82"/>
      <c r="AJ185" s="82"/>
      <c r="AK185" s="82"/>
      <c r="AL185" s="82"/>
      <c r="AM185" s="82"/>
      <c r="AN185" s="82"/>
      <c r="AO185" s="82"/>
      <c r="AP185" s="82"/>
      <c r="AQ185" s="82"/>
      <c r="AR185" s="82"/>
      <c r="AS185" s="82"/>
      <c r="AT185" s="82"/>
      <c r="AU185" s="82"/>
      <c r="AV185" s="82"/>
      <c r="AW185" s="82"/>
      <c r="AX185" s="82"/>
      <c r="AY185" s="82"/>
      <c r="AZ185" s="82"/>
      <c r="BA185" s="82"/>
      <c r="BB185" s="82"/>
      <c r="BC185" s="82"/>
      <c r="BD185" s="82"/>
      <c r="BE185" s="82"/>
      <c r="BF185" s="82"/>
      <c r="BG185" s="82"/>
      <c r="BH185" s="82"/>
      <c r="BI185" s="82"/>
      <c r="BJ185" s="82"/>
      <c r="BK185" s="82"/>
      <c r="BL185" s="82"/>
      <c r="BM185" s="82"/>
    </row>
    <row r="186" spans="1:65" x14ac:dyDescent="0.25">
      <c r="A186" s="82"/>
      <c r="B186" s="82"/>
      <c r="C186" s="82"/>
      <c r="D186" s="82"/>
      <c r="E186" s="82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</row>
    <row r="187" spans="1:65" x14ac:dyDescent="0.25">
      <c r="A187" s="82"/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  <c r="AF187" s="82"/>
      <c r="AG187" s="82"/>
      <c r="AH187" s="82"/>
      <c r="AI187" s="82"/>
      <c r="AJ187" s="82"/>
      <c r="AK187" s="82"/>
      <c r="AL187" s="82"/>
      <c r="AM187" s="82"/>
      <c r="AN187" s="82"/>
      <c r="AO187" s="82"/>
      <c r="AP187" s="82"/>
      <c r="AQ187" s="82"/>
      <c r="AR187" s="82"/>
      <c r="AS187" s="82"/>
      <c r="AT187" s="82"/>
      <c r="AU187" s="82"/>
      <c r="AV187" s="82"/>
      <c r="AW187" s="82"/>
      <c r="AX187" s="82"/>
      <c r="AY187" s="82"/>
      <c r="AZ187" s="82"/>
      <c r="BA187" s="82"/>
      <c r="BB187" s="82"/>
      <c r="BC187" s="82"/>
      <c r="BD187" s="82"/>
      <c r="BE187" s="82"/>
      <c r="BF187" s="82"/>
      <c r="BG187" s="82"/>
      <c r="BH187" s="82"/>
      <c r="BI187" s="82"/>
      <c r="BJ187" s="82"/>
      <c r="BK187" s="82"/>
      <c r="BL187" s="82"/>
      <c r="BM187" s="82"/>
    </row>
    <row r="188" spans="1:65" x14ac:dyDescent="0.25">
      <c r="A188" s="82"/>
      <c r="B188" s="82"/>
      <c r="C188" s="82"/>
      <c r="D188" s="82"/>
      <c r="E188" s="82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2"/>
      <c r="AG188" s="82"/>
      <c r="AH188" s="82"/>
      <c r="AI188" s="82"/>
      <c r="AJ188" s="82"/>
      <c r="AK188" s="82"/>
      <c r="AL188" s="82"/>
      <c r="AM188" s="82"/>
      <c r="AN188" s="82"/>
      <c r="AO188" s="82"/>
      <c r="AP188" s="82"/>
      <c r="AQ188" s="82"/>
      <c r="AR188" s="82"/>
      <c r="AS188" s="82"/>
      <c r="AT188" s="82"/>
      <c r="AU188" s="82"/>
      <c r="AV188" s="82"/>
      <c r="AW188" s="82"/>
      <c r="AX188" s="82"/>
      <c r="AY188" s="82"/>
      <c r="AZ188" s="82"/>
      <c r="BA188" s="82"/>
      <c r="BB188" s="82"/>
      <c r="BC188" s="82"/>
      <c r="BD188" s="82"/>
      <c r="BE188" s="82"/>
      <c r="BF188" s="82"/>
      <c r="BG188" s="82"/>
      <c r="BH188" s="82"/>
      <c r="BI188" s="82"/>
      <c r="BJ188" s="82"/>
      <c r="BK188" s="82"/>
      <c r="BL188" s="82"/>
      <c r="BM188" s="82"/>
    </row>
    <row r="189" spans="1:65" x14ac:dyDescent="0.25">
      <c r="A189" s="82"/>
      <c r="B189" s="82"/>
      <c r="C189" s="82"/>
      <c r="D189" s="82"/>
      <c r="E189" s="82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  <c r="AF189" s="82"/>
      <c r="AG189" s="82"/>
      <c r="AH189" s="82"/>
      <c r="AI189" s="82"/>
      <c r="AJ189" s="82"/>
      <c r="AK189" s="82"/>
      <c r="AL189" s="82"/>
      <c r="AM189" s="82"/>
      <c r="AN189" s="82"/>
      <c r="AO189" s="82"/>
      <c r="AP189" s="82"/>
      <c r="AQ189" s="82"/>
      <c r="AR189" s="82"/>
      <c r="AS189" s="82"/>
      <c r="AT189" s="82"/>
      <c r="AU189" s="82"/>
      <c r="AV189" s="82"/>
      <c r="AW189" s="82"/>
      <c r="AX189" s="82"/>
      <c r="AY189" s="82"/>
      <c r="AZ189" s="82"/>
      <c r="BA189" s="82"/>
      <c r="BB189" s="82"/>
      <c r="BC189" s="82"/>
      <c r="BD189" s="82"/>
      <c r="BE189" s="82"/>
      <c r="BF189" s="82"/>
      <c r="BG189" s="82"/>
      <c r="BH189" s="82"/>
      <c r="BI189" s="82"/>
      <c r="BJ189" s="82"/>
      <c r="BK189" s="82"/>
      <c r="BL189" s="82"/>
      <c r="BM189" s="82"/>
    </row>
    <row r="190" spans="1:65" x14ac:dyDescent="0.25">
      <c r="A190" s="82"/>
      <c r="B190" s="82"/>
      <c r="C190" s="82"/>
      <c r="D190" s="82"/>
      <c r="E190" s="82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  <c r="AF190" s="82"/>
      <c r="AG190" s="82"/>
      <c r="AH190" s="82"/>
      <c r="AI190" s="82"/>
      <c r="AJ190" s="82"/>
      <c r="AK190" s="82"/>
      <c r="AL190" s="82"/>
      <c r="AM190" s="82"/>
      <c r="AN190" s="82"/>
      <c r="AO190" s="82"/>
      <c r="AP190" s="82"/>
      <c r="AQ190" s="82"/>
      <c r="AR190" s="82"/>
      <c r="AS190" s="82"/>
      <c r="AT190" s="82"/>
      <c r="AU190" s="82"/>
      <c r="AV190" s="82"/>
      <c r="AW190" s="82"/>
      <c r="AX190" s="82"/>
      <c r="AY190" s="82"/>
      <c r="AZ190" s="82"/>
      <c r="BA190" s="82"/>
      <c r="BB190" s="82"/>
      <c r="BC190" s="82"/>
      <c r="BD190" s="82"/>
      <c r="BE190" s="82"/>
      <c r="BF190" s="82"/>
      <c r="BG190" s="82"/>
      <c r="BH190" s="82"/>
      <c r="BI190" s="82"/>
      <c r="BJ190" s="82"/>
      <c r="BK190" s="82"/>
      <c r="BL190" s="82"/>
      <c r="BM190" s="82"/>
    </row>
    <row r="191" spans="1:65" x14ac:dyDescent="0.25">
      <c r="A191" s="82"/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  <c r="AF191" s="82"/>
      <c r="AG191" s="82"/>
      <c r="AH191" s="82"/>
      <c r="AI191" s="82"/>
      <c r="AJ191" s="82"/>
      <c r="AK191" s="82"/>
      <c r="AL191" s="82"/>
      <c r="AM191" s="82"/>
      <c r="AN191" s="82"/>
      <c r="AO191" s="82"/>
      <c r="AP191" s="82"/>
      <c r="AQ191" s="82"/>
      <c r="AR191" s="82"/>
      <c r="AS191" s="82"/>
      <c r="AT191" s="82"/>
      <c r="AU191" s="82"/>
      <c r="AV191" s="82"/>
      <c r="AW191" s="82"/>
      <c r="AX191" s="82"/>
      <c r="AY191" s="82"/>
      <c r="AZ191" s="82"/>
      <c r="BA191" s="82"/>
      <c r="BB191" s="82"/>
      <c r="BC191" s="82"/>
      <c r="BD191" s="82"/>
      <c r="BE191" s="82"/>
      <c r="BF191" s="82"/>
      <c r="BG191" s="82"/>
      <c r="BH191" s="82"/>
      <c r="BI191" s="82"/>
      <c r="BJ191" s="82"/>
      <c r="BK191" s="82"/>
      <c r="BL191" s="82"/>
      <c r="BM191" s="82"/>
    </row>
    <row r="192" spans="1:65" x14ac:dyDescent="0.25">
      <c r="A192" s="82"/>
      <c r="B192" s="82"/>
      <c r="C192" s="82"/>
      <c r="D192" s="82"/>
      <c r="E192" s="82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  <c r="AF192" s="82"/>
      <c r="AG192" s="82"/>
      <c r="AH192" s="82"/>
      <c r="AI192" s="82"/>
      <c r="AJ192" s="82"/>
      <c r="AK192" s="82"/>
      <c r="AL192" s="82"/>
      <c r="AM192" s="82"/>
      <c r="AN192" s="82"/>
      <c r="AO192" s="82"/>
      <c r="AP192" s="82"/>
      <c r="AQ192" s="82"/>
      <c r="AR192" s="82"/>
      <c r="AS192" s="82"/>
      <c r="AT192" s="82"/>
      <c r="AU192" s="82"/>
      <c r="AV192" s="82"/>
      <c r="AW192" s="82"/>
      <c r="AX192" s="82"/>
      <c r="AY192" s="82"/>
      <c r="AZ192" s="82"/>
      <c r="BA192" s="82"/>
      <c r="BB192" s="82"/>
      <c r="BC192" s="82"/>
      <c r="BD192" s="82"/>
      <c r="BE192" s="82"/>
      <c r="BF192" s="82"/>
      <c r="BG192" s="82"/>
      <c r="BH192" s="82"/>
      <c r="BI192" s="82"/>
      <c r="BJ192" s="82"/>
      <c r="BK192" s="82"/>
      <c r="BL192" s="82"/>
      <c r="BM192" s="82"/>
    </row>
    <row r="193" spans="1:65" x14ac:dyDescent="0.25">
      <c r="A193" s="82"/>
      <c r="B193" s="82"/>
      <c r="C193" s="82"/>
      <c r="D193" s="82"/>
      <c r="E193" s="82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  <c r="AF193" s="82"/>
      <c r="AG193" s="82"/>
      <c r="AH193" s="82"/>
      <c r="AI193" s="82"/>
      <c r="AJ193" s="82"/>
      <c r="AK193" s="82"/>
      <c r="AL193" s="82"/>
      <c r="AM193" s="82"/>
      <c r="AN193" s="82"/>
      <c r="AO193" s="82"/>
      <c r="AP193" s="82"/>
      <c r="AQ193" s="82"/>
      <c r="AR193" s="82"/>
      <c r="AS193" s="82"/>
      <c r="AT193" s="82"/>
      <c r="AU193" s="82"/>
      <c r="AV193" s="82"/>
      <c r="AW193" s="82"/>
      <c r="AX193" s="82"/>
      <c r="AY193" s="82"/>
      <c r="AZ193" s="82"/>
      <c r="BA193" s="82"/>
      <c r="BB193" s="82"/>
      <c r="BC193" s="82"/>
      <c r="BD193" s="82"/>
      <c r="BE193" s="82"/>
      <c r="BF193" s="82"/>
      <c r="BG193" s="82"/>
      <c r="BH193" s="82"/>
      <c r="BI193" s="82"/>
      <c r="BJ193" s="82"/>
      <c r="BK193" s="82"/>
      <c r="BL193" s="82"/>
      <c r="BM193" s="82"/>
    </row>
    <row r="194" spans="1:65" x14ac:dyDescent="0.25">
      <c r="A194" s="82"/>
      <c r="B194" s="82"/>
      <c r="C194" s="82"/>
      <c r="D194" s="82"/>
      <c r="E194" s="82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  <c r="AF194" s="82"/>
      <c r="AG194" s="82"/>
      <c r="AH194" s="82"/>
      <c r="AI194" s="82"/>
      <c r="AJ194" s="82"/>
      <c r="AK194" s="82"/>
      <c r="AL194" s="82"/>
      <c r="AM194" s="82"/>
      <c r="AN194" s="82"/>
      <c r="AO194" s="82"/>
      <c r="AP194" s="82"/>
      <c r="AQ194" s="82"/>
      <c r="AR194" s="82"/>
      <c r="AS194" s="82"/>
      <c r="AT194" s="82"/>
      <c r="AU194" s="82"/>
      <c r="AV194" s="82"/>
      <c r="AW194" s="82"/>
      <c r="AX194" s="82"/>
      <c r="AY194" s="82"/>
      <c r="AZ194" s="82"/>
      <c r="BA194" s="82"/>
      <c r="BB194" s="82"/>
      <c r="BC194" s="82"/>
      <c r="BD194" s="82"/>
      <c r="BE194" s="82"/>
      <c r="BF194" s="82"/>
      <c r="BG194" s="82"/>
      <c r="BH194" s="82"/>
      <c r="BI194" s="82"/>
      <c r="BJ194" s="82"/>
      <c r="BK194" s="82"/>
      <c r="BL194" s="82"/>
      <c r="BM194" s="82"/>
    </row>
    <row r="195" spans="1:65" x14ac:dyDescent="0.25">
      <c r="A195" s="82"/>
      <c r="B195" s="82"/>
      <c r="C195" s="82"/>
      <c r="D195" s="82"/>
      <c r="E195" s="82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  <c r="AF195" s="82"/>
      <c r="AG195" s="82"/>
      <c r="AH195" s="82"/>
      <c r="AI195" s="82"/>
      <c r="AJ195" s="82"/>
      <c r="AK195" s="82"/>
      <c r="AL195" s="82"/>
      <c r="AM195" s="82"/>
      <c r="AN195" s="82"/>
      <c r="AO195" s="82"/>
      <c r="AP195" s="82"/>
      <c r="AQ195" s="82"/>
      <c r="AR195" s="82"/>
      <c r="AS195" s="82"/>
      <c r="AT195" s="82"/>
      <c r="AU195" s="82"/>
      <c r="AV195" s="82"/>
      <c r="AW195" s="82"/>
      <c r="AX195" s="82"/>
      <c r="AY195" s="82"/>
      <c r="AZ195" s="82"/>
      <c r="BA195" s="82"/>
      <c r="BB195" s="82"/>
      <c r="BC195" s="82"/>
      <c r="BD195" s="82"/>
      <c r="BE195" s="82"/>
      <c r="BF195" s="82"/>
      <c r="BG195" s="82"/>
      <c r="BH195" s="82"/>
      <c r="BI195" s="82"/>
      <c r="BJ195" s="82"/>
      <c r="BK195" s="82"/>
      <c r="BL195" s="82"/>
      <c r="BM195" s="82"/>
    </row>
    <row r="196" spans="1:65" x14ac:dyDescent="0.25">
      <c r="A196" s="82"/>
      <c r="B196" s="82"/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  <c r="AH196" s="82"/>
      <c r="AI196" s="82"/>
      <c r="AJ196" s="82"/>
      <c r="AK196" s="82"/>
      <c r="AL196" s="82"/>
      <c r="AM196" s="82"/>
      <c r="AN196" s="82"/>
      <c r="AO196" s="82"/>
      <c r="AP196" s="82"/>
      <c r="AQ196" s="82"/>
      <c r="AR196" s="82"/>
      <c r="AS196" s="82"/>
      <c r="AT196" s="82"/>
      <c r="AU196" s="82"/>
      <c r="AV196" s="82"/>
      <c r="AW196" s="82"/>
      <c r="AX196" s="82"/>
      <c r="AY196" s="82"/>
      <c r="AZ196" s="82"/>
      <c r="BA196" s="82"/>
      <c r="BB196" s="82"/>
      <c r="BC196" s="82"/>
      <c r="BD196" s="82"/>
      <c r="BE196" s="82"/>
      <c r="BF196" s="82"/>
      <c r="BG196" s="82"/>
      <c r="BH196" s="82"/>
      <c r="BI196" s="82"/>
      <c r="BJ196" s="82"/>
      <c r="BK196" s="82"/>
      <c r="BL196" s="82"/>
      <c r="BM196" s="82"/>
    </row>
    <row r="197" spans="1:65" x14ac:dyDescent="0.25">
      <c r="A197" s="82"/>
      <c r="B197" s="82"/>
      <c r="C197" s="82"/>
      <c r="D197" s="82"/>
      <c r="E197" s="82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  <c r="AF197" s="82"/>
      <c r="AG197" s="82"/>
      <c r="AH197" s="82"/>
      <c r="AI197" s="82"/>
      <c r="AJ197" s="82"/>
      <c r="AK197" s="82"/>
      <c r="AL197" s="82"/>
      <c r="AM197" s="82"/>
      <c r="AN197" s="82"/>
      <c r="AO197" s="82"/>
      <c r="AP197" s="82"/>
      <c r="AQ197" s="82"/>
      <c r="AR197" s="82"/>
      <c r="AS197" s="82"/>
      <c r="AT197" s="82"/>
      <c r="AU197" s="82"/>
      <c r="AV197" s="82"/>
      <c r="AW197" s="82"/>
      <c r="AX197" s="82"/>
      <c r="AY197" s="82"/>
      <c r="AZ197" s="82"/>
      <c r="BA197" s="82"/>
      <c r="BB197" s="82"/>
      <c r="BC197" s="82"/>
      <c r="BD197" s="82"/>
      <c r="BE197" s="82"/>
      <c r="BF197" s="82"/>
      <c r="BG197" s="82"/>
      <c r="BH197" s="82"/>
      <c r="BI197" s="82"/>
      <c r="BJ197" s="82"/>
      <c r="BK197" s="82"/>
      <c r="BL197" s="82"/>
      <c r="BM197" s="82"/>
    </row>
    <row r="198" spans="1:65" x14ac:dyDescent="0.25">
      <c r="A198" s="82"/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  <c r="AF198" s="82"/>
      <c r="AG198" s="82"/>
      <c r="AH198" s="82"/>
      <c r="AI198" s="82"/>
      <c r="AJ198" s="82"/>
      <c r="AK198" s="82"/>
      <c r="AL198" s="82"/>
      <c r="AM198" s="82"/>
      <c r="AN198" s="82"/>
      <c r="AO198" s="82"/>
      <c r="AP198" s="82"/>
      <c r="AQ198" s="82"/>
      <c r="AR198" s="82"/>
      <c r="AS198" s="82"/>
      <c r="AT198" s="82"/>
      <c r="AU198" s="82"/>
      <c r="AV198" s="82"/>
      <c r="AW198" s="82"/>
      <c r="AX198" s="82"/>
      <c r="AY198" s="82"/>
      <c r="AZ198" s="82"/>
      <c r="BA198" s="82"/>
      <c r="BB198" s="82"/>
      <c r="BC198" s="82"/>
      <c r="BD198" s="82"/>
      <c r="BE198" s="82"/>
      <c r="BF198" s="82"/>
      <c r="BG198" s="82"/>
      <c r="BH198" s="82"/>
      <c r="BI198" s="82"/>
      <c r="BJ198" s="82"/>
      <c r="BK198" s="82"/>
      <c r="BL198" s="82"/>
      <c r="BM198" s="82"/>
    </row>
    <row r="199" spans="1:65" x14ac:dyDescent="0.25">
      <c r="A199" s="82"/>
      <c r="B199" s="82"/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M199" s="82"/>
      <c r="AN199" s="82"/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  <c r="BD199" s="82"/>
      <c r="BE199" s="82"/>
      <c r="BF199" s="82"/>
      <c r="BG199" s="82"/>
      <c r="BH199" s="82"/>
      <c r="BI199" s="82"/>
      <c r="BJ199" s="82"/>
      <c r="BK199" s="82"/>
      <c r="BL199" s="82"/>
      <c r="BM199" s="82"/>
    </row>
    <row r="200" spans="1:65" x14ac:dyDescent="0.25">
      <c r="A200" s="82"/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  <c r="AF200" s="82"/>
      <c r="AG200" s="82"/>
      <c r="AH200" s="82"/>
      <c r="AI200" s="82"/>
      <c r="AJ200" s="82"/>
      <c r="AK200" s="82"/>
      <c r="AL200" s="82"/>
      <c r="AM200" s="82"/>
      <c r="AN200" s="82"/>
      <c r="AO200" s="82"/>
      <c r="AP200" s="82"/>
      <c r="AQ200" s="82"/>
      <c r="AR200" s="82"/>
      <c r="AS200" s="82"/>
      <c r="AT200" s="82"/>
      <c r="AU200" s="82"/>
      <c r="AV200" s="82"/>
      <c r="AW200" s="82"/>
      <c r="AX200" s="82"/>
      <c r="AY200" s="82"/>
      <c r="AZ200" s="82"/>
      <c r="BA200" s="82"/>
      <c r="BB200" s="82"/>
      <c r="BC200" s="82"/>
      <c r="BD200" s="82"/>
      <c r="BE200" s="82"/>
      <c r="BF200" s="82"/>
      <c r="BG200" s="82"/>
      <c r="BH200" s="82"/>
      <c r="BI200" s="82"/>
      <c r="BJ200" s="82"/>
      <c r="BK200" s="82"/>
      <c r="BL200" s="82"/>
      <c r="BM200" s="82"/>
    </row>
    <row r="201" spans="1:65" x14ac:dyDescent="0.25">
      <c r="A201" s="82"/>
      <c r="B201" s="8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  <c r="AF201" s="82"/>
      <c r="AG201" s="82"/>
      <c r="AH201" s="82"/>
      <c r="AI201" s="82"/>
      <c r="AJ201" s="82"/>
      <c r="AK201" s="82"/>
      <c r="AL201" s="82"/>
      <c r="AM201" s="82"/>
      <c r="AN201" s="82"/>
      <c r="AO201" s="82"/>
      <c r="AP201" s="82"/>
      <c r="AQ201" s="82"/>
      <c r="AR201" s="82"/>
      <c r="AS201" s="82"/>
      <c r="AT201" s="82"/>
      <c r="AU201" s="82"/>
      <c r="AV201" s="82"/>
      <c r="AW201" s="82"/>
      <c r="AX201" s="82"/>
      <c r="AY201" s="82"/>
      <c r="AZ201" s="82"/>
      <c r="BA201" s="82"/>
      <c r="BB201" s="82"/>
      <c r="BC201" s="82"/>
      <c r="BD201" s="82"/>
      <c r="BE201" s="82"/>
      <c r="BF201" s="82"/>
      <c r="BG201" s="82"/>
      <c r="BH201" s="82"/>
      <c r="BI201" s="82"/>
      <c r="BJ201" s="82"/>
      <c r="BK201" s="82"/>
      <c r="BL201" s="82"/>
      <c r="BM201" s="82"/>
    </row>
    <row r="202" spans="1:65" x14ac:dyDescent="0.25">
      <c r="A202" s="82"/>
      <c r="B202" s="82"/>
      <c r="C202" s="82"/>
      <c r="D202" s="82"/>
      <c r="E202" s="82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2"/>
      <c r="AG202" s="82"/>
      <c r="AH202" s="82"/>
      <c r="AI202" s="82"/>
      <c r="AJ202" s="82"/>
      <c r="AK202" s="82"/>
      <c r="AL202" s="82"/>
      <c r="AM202" s="82"/>
      <c r="AN202" s="82"/>
      <c r="AO202" s="82"/>
      <c r="AP202" s="82"/>
      <c r="AQ202" s="82"/>
      <c r="AR202" s="82"/>
      <c r="AS202" s="82"/>
      <c r="AT202" s="82"/>
      <c r="AU202" s="82"/>
      <c r="AV202" s="82"/>
      <c r="AW202" s="82"/>
      <c r="AX202" s="82"/>
      <c r="AY202" s="82"/>
      <c r="AZ202" s="82"/>
      <c r="BA202" s="82"/>
      <c r="BB202" s="82"/>
      <c r="BC202" s="82"/>
      <c r="BD202" s="82"/>
      <c r="BE202" s="82"/>
      <c r="BF202" s="82"/>
      <c r="BG202" s="82"/>
      <c r="BH202" s="82"/>
      <c r="BI202" s="82"/>
      <c r="BJ202" s="82"/>
      <c r="BK202" s="82"/>
      <c r="BL202" s="82"/>
      <c r="BM202" s="82"/>
    </row>
    <row r="203" spans="1:65" x14ac:dyDescent="0.25">
      <c r="A203" s="82"/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  <c r="AF203" s="82"/>
      <c r="AG203" s="82"/>
      <c r="AH203" s="82"/>
      <c r="AI203" s="82"/>
      <c r="AJ203" s="82"/>
      <c r="AK203" s="82"/>
      <c r="AL203" s="82"/>
      <c r="AM203" s="82"/>
      <c r="AN203" s="82"/>
      <c r="AO203" s="82"/>
      <c r="AP203" s="82"/>
      <c r="AQ203" s="82"/>
      <c r="AR203" s="82"/>
      <c r="AS203" s="82"/>
      <c r="AT203" s="82"/>
      <c r="AU203" s="82"/>
      <c r="AV203" s="82"/>
      <c r="AW203" s="82"/>
      <c r="AX203" s="82"/>
      <c r="AY203" s="82"/>
      <c r="AZ203" s="82"/>
      <c r="BA203" s="82"/>
      <c r="BB203" s="82"/>
      <c r="BC203" s="82"/>
      <c r="BD203" s="82"/>
      <c r="BE203" s="82"/>
      <c r="BF203" s="82"/>
      <c r="BG203" s="82"/>
      <c r="BH203" s="82"/>
      <c r="BI203" s="82"/>
      <c r="BJ203" s="82"/>
      <c r="BK203" s="82"/>
      <c r="BL203" s="82"/>
      <c r="BM203" s="82"/>
    </row>
    <row r="204" spans="1:65" x14ac:dyDescent="0.25">
      <c r="A204" s="82"/>
      <c r="B204" s="82"/>
      <c r="C204" s="82"/>
      <c r="D204" s="82"/>
      <c r="E204" s="82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2"/>
      <c r="AG204" s="82"/>
      <c r="AH204" s="82"/>
      <c r="AI204" s="82"/>
      <c r="AJ204" s="82"/>
      <c r="AK204" s="82"/>
      <c r="AL204" s="82"/>
      <c r="AM204" s="82"/>
      <c r="AN204" s="82"/>
      <c r="AO204" s="82"/>
      <c r="AP204" s="82"/>
      <c r="AQ204" s="82"/>
      <c r="AR204" s="82"/>
      <c r="AS204" s="82"/>
      <c r="AT204" s="82"/>
      <c r="AU204" s="82"/>
      <c r="AV204" s="82"/>
      <c r="AW204" s="82"/>
      <c r="AX204" s="82"/>
      <c r="AY204" s="82"/>
      <c r="AZ204" s="82"/>
      <c r="BA204" s="82"/>
      <c r="BB204" s="82"/>
      <c r="BC204" s="82"/>
      <c r="BD204" s="82"/>
      <c r="BE204" s="82"/>
      <c r="BF204" s="82"/>
      <c r="BG204" s="82"/>
      <c r="BH204" s="82"/>
      <c r="BI204" s="82"/>
      <c r="BJ204" s="82"/>
      <c r="BK204" s="82"/>
      <c r="BL204" s="82"/>
      <c r="BM204" s="82"/>
    </row>
    <row r="205" spans="1:65" x14ac:dyDescent="0.25">
      <c r="A205" s="82"/>
      <c r="B205" s="82"/>
      <c r="C205" s="82"/>
      <c r="D205" s="82"/>
      <c r="E205" s="82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  <c r="AF205" s="82"/>
      <c r="AG205" s="82"/>
      <c r="AH205" s="82"/>
      <c r="AI205" s="82"/>
      <c r="AJ205" s="82"/>
      <c r="AK205" s="82"/>
      <c r="AL205" s="82"/>
      <c r="AM205" s="82"/>
      <c r="AN205" s="82"/>
      <c r="AO205" s="82"/>
      <c r="AP205" s="82"/>
      <c r="AQ205" s="82"/>
      <c r="AR205" s="82"/>
      <c r="AS205" s="82"/>
      <c r="AT205" s="82"/>
      <c r="AU205" s="82"/>
      <c r="AV205" s="82"/>
      <c r="AW205" s="82"/>
      <c r="AX205" s="82"/>
      <c r="AY205" s="82"/>
      <c r="AZ205" s="82"/>
      <c r="BA205" s="82"/>
      <c r="BB205" s="82"/>
      <c r="BC205" s="82"/>
      <c r="BD205" s="82"/>
      <c r="BE205" s="82"/>
      <c r="BF205" s="82"/>
      <c r="BG205" s="82"/>
      <c r="BH205" s="82"/>
      <c r="BI205" s="82"/>
      <c r="BJ205" s="82"/>
      <c r="BK205" s="82"/>
      <c r="BL205" s="82"/>
      <c r="BM205" s="82"/>
    </row>
    <row r="206" spans="1:65" x14ac:dyDescent="0.25">
      <c r="A206" s="82"/>
      <c r="B206" s="82"/>
      <c r="C206" s="82"/>
      <c r="D206" s="82"/>
      <c r="E206" s="82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2"/>
      <c r="AG206" s="82"/>
      <c r="AH206" s="82"/>
      <c r="AI206" s="82"/>
      <c r="AJ206" s="82"/>
      <c r="AK206" s="82"/>
      <c r="AL206" s="82"/>
      <c r="AM206" s="82"/>
      <c r="AN206" s="82"/>
      <c r="AO206" s="82"/>
      <c r="AP206" s="82"/>
      <c r="AQ206" s="82"/>
      <c r="AR206" s="82"/>
      <c r="AS206" s="82"/>
      <c r="AT206" s="82"/>
      <c r="AU206" s="82"/>
      <c r="AV206" s="82"/>
      <c r="AW206" s="82"/>
      <c r="AX206" s="82"/>
      <c r="AY206" s="82"/>
      <c r="AZ206" s="82"/>
      <c r="BA206" s="82"/>
      <c r="BB206" s="82"/>
      <c r="BC206" s="82"/>
      <c r="BD206" s="82"/>
      <c r="BE206" s="82"/>
      <c r="BF206" s="82"/>
      <c r="BG206" s="82"/>
      <c r="BH206" s="82"/>
      <c r="BI206" s="82"/>
      <c r="BJ206" s="82"/>
      <c r="BK206" s="82"/>
      <c r="BL206" s="82"/>
      <c r="BM206" s="82"/>
    </row>
    <row r="207" spans="1:65" x14ac:dyDescent="0.25">
      <c r="A207" s="82"/>
      <c r="B207" s="82"/>
      <c r="C207" s="82"/>
      <c r="D207" s="82"/>
      <c r="E207" s="82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  <c r="AF207" s="82"/>
      <c r="AG207" s="82"/>
      <c r="AH207" s="82"/>
      <c r="AI207" s="82"/>
      <c r="AJ207" s="82"/>
      <c r="AK207" s="82"/>
      <c r="AL207" s="82"/>
      <c r="AM207" s="82"/>
      <c r="AN207" s="82"/>
      <c r="AO207" s="82"/>
      <c r="AP207" s="82"/>
      <c r="AQ207" s="82"/>
      <c r="AR207" s="82"/>
      <c r="AS207" s="82"/>
      <c r="AT207" s="82"/>
      <c r="AU207" s="82"/>
      <c r="AV207" s="82"/>
      <c r="AW207" s="82"/>
      <c r="AX207" s="82"/>
      <c r="AY207" s="82"/>
      <c r="AZ207" s="82"/>
      <c r="BA207" s="82"/>
      <c r="BB207" s="82"/>
      <c r="BC207" s="82"/>
      <c r="BD207" s="82"/>
      <c r="BE207" s="82"/>
      <c r="BF207" s="82"/>
      <c r="BG207" s="82"/>
      <c r="BH207" s="82"/>
      <c r="BI207" s="82"/>
      <c r="BJ207" s="82"/>
      <c r="BK207" s="82"/>
      <c r="BL207" s="82"/>
      <c r="BM207" s="82"/>
    </row>
    <row r="208" spans="1:65" x14ac:dyDescent="0.25">
      <c r="A208" s="82"/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  <c r="AH208" s="82"/>
      <c r="AI208" s="82"/>
      <c r="AJ208" s="82"/>
      <c r="AK208" s="82"/>
      <c r="AL208" s="82"/>
      <c r="AM208" s="82"/>
      <c r="AN208" s="82"/>
      <c r="AO208" s="82"/>
      <c r="AP208" s="82"/>
      <c r="AQ208" s="82"/>
      <c r="AR208" s="82"/>
      <c r="AS208" s="82"/>
      <c r="AT208" s="82"/>
      <c r="AU208" s="82"/>
      <c r="AV208" s="82"/>
      <c r="AW208" s="82"/>
      <c r="AX208" s="82"/>
      <c r="AY208" s="82"/>
      <c r="AZ208" s="82"/>
      <c r="BA208" s="82"/>
      <c r="BB208" s="82"/>
      <c r="BC208" s="82"/>
      <c r="BD208" s="82"/>
      <c r="BE208" s="82"/>
      <c r="BF208" s="82"/>
      <c r="BG208" s="82"/>
      <c r="BH208" s="82"/>
      <c r="BI208" s="82"/>
      <c r="BJ208" s="82"/>
      <c r="BK208" s="82"/>
      <c r="BL208" s="82"/>
      <c r="BM208" s="82"/>
    </row>
    <row r="209" spans="1:65" x14ac:dyDescent="0.25">
      <c r="A209" s="82"/>
      <c r="B209" s="82"/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  <c r="AH209" s="82"/>
      <c r="AI209" s="82"/>
      <c r="AJ209" s="82"/>
      <c r="AK209" s="82"/>
      <c r="AL209" s="82"/>
      <c r="AM209" s="82"/>
      <c r="AN209" s="82"/>
      <c r="AO209" s="82"/>
      <c r="AP209" s="82"/>
      <c r="AQ209" s="82"/>
      <c r="AR209" s="82"/>
      <c r="AS209" s="82"/>
      <c r="AT209" s="82"/>
      <c r="AU209" s="82"/>
      <c r="AV209" s="82"/>
      <c r="AW209" s="82"/>
      <c r="AX209" s="82"/>
      <c r="AY209" s="82"/>
      <c r="AZ209" s="82"/>
      <c r="BA209" s="82"/>
      <c r="BB209" s="82"/>
      <c r="BC209" s="82"/>
      <c r="BD209" s="82"/>
      <c r="BE209" s="82"/>
      <c r="BF209" s="82"/>
      <c r="BG209" s="82"/>
      <c r="BH209" s="82"/>
      <c r="BI209" s="82"/>
      <c r="BJ209" s="82"/>
      <c r="BK209" s="82"/>
      <c r="BL209" s="82"/>
      <c r="BM209" s="82"/>
    </row>
    <row r="210" spans="1:65" x14ac:dyDescent="0.25">
      <c r="A210" s="82"/>
      <c r="B210" s="82"/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  <c r="AH210" s="82"/>
      <c r="AI210" s="82"/>
      <c r="AJ210" s="82"/>
      <c r="AK210" s="82"/>
      <c r="AL210" s="82"/>
      <c r="AM210" s="82"/>
      <c r="AN210" s="82"/>
      <c r="AO210" s="82"/>
      <c r="AP210" s="82"/>
      <c r="AQ210" s="82"/>
      <c r="AR210" s="82"/>
      <c r="AS210" s="82"/>
      <c r="AT210" s="82"/>
      <c r="AU210" s="82"/>
      <c r="AV210" s="82"/>
      <c r="AW210" s="82"/>
      <c r="AX210" s="82"/>
      <c r="AY210" s="82"/>
      <c r="AZ210" s="82"/>
      <c r="BA210" s="82"/>
      <c r="BB210" s="82"/>
      <c r="BC210" s="82"/>
      <c r="BD210" s="82"/>
      <c r="BE210" s="82"/>
      <c r="BF210" s="82"/>
      <c r="BG210" s="82"/>
      <c r="BH210" s="82"/>
      <c r="BI210" s="82"/>
      <c r="BJ210" s="82"/>
      <c r="BK210" s="82"/>
      <c r="BL210" s="82"/>
      <c r="BM210" s="82"/>
    </row>
    <row r="211" spans="1:65" x14ac:dyDescent="0.25">
      <c r="A211" s="82"/>
      <c r="B211" s="82"/>
      <c r="C211" s="82"/>
      <c r="D211" s="82"/>
      <c r="E211" s="82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  <c r="AF211" s="82"/>
      <c r="AG211" s="82"/>
      <c r="AH211" s="82"/>
      <c r="AI211" s="82"/>
      <c r="AJ211" s="82"/>
      <c r="AK211" s="82"/>
      <c r="AL211" s="82"/>
      <c r="AM211" s="82"/>
      <c r="AN211" s="82"/>
      <c r="AO211" s="82"/>
      <c r="AP211" s="82"/>
      <c r="AQ211" s="82"/>
      <c r="AR211" s="82"/>
      <c r="AS211" s="82"/>
      <c r="AT211" s="82"/>
      <c r="AU211" s="82"/>
      <c r="AV211" s="82"/>
      <c r="AW211" s="82"/>
      <c r="AX211" s="82"/>
      <c r="AY211" s="82"/>
      <c r="AZ211" s="82"/>
      <c r="BA211" s="82"/>
      <c r="BB211" s="82"/>
      <c r="BC211" s="82"/>
      <c r="BD211" s="82"/>
      <c r="BE211" s="82"/>
      <c r="BF211" s="82"/>
      <c r="BG211" s="82"/>
      <c r="BH211" s="82"/>
      <c r="BI211" s="82"/>
      <c r="BJ211" s="82"/>
      <c r="BK211" s="82"/>
      <c r="BL211" s="82"/>
      <c r="BM211" s="82"/>
    </row>
    <row r="212" spans="1:65" x14ac:dyDescent="0.25">
      <c r="A212" s="82"/>
      <c r="B212" s="82"/>
      <c r="C212" s="82"/>
      <c r="D212" s="82"/>
      <c r="E212" s="82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  <c r="AF212" s="82"/>
      <c r="AG212" s="82"/>
      <c r="AH212" s="82"/>
      <c r="AI212" s="82"/>
      <c r="AJ212" s="82"/>
      <c r="AK212" s="82"/>
      <c r="AL212" s="82"/>
      <c r="AM212" s="82"/>
      <c r="AN212" s="82"/>
      <c r="AO212" s="82"/>
      <c r="AP212" s="82"/>
      <c r="AQ212" s="82"/>
      <c r="AR212" s="82"/>
      <c r="AS212" s="82"/>
      <c r="AT212" s="82"/>
      <c r="AU212" s="82"/>
      <c r="AV212" s="82"/>
      <c r="AW212" s="82"/>
      <c r="AX212" s="82"/>
      <c r="AY212" s="82"/>
      <c r="AZ212" s="82"/>
      <c r="BA212" s="82"/>
      <c r="BB212" s="82"/>
      <c r="BC212" s="82"/>
      <c r="BD212" s="82"/>
      <c r="BE212" s="82"/>
      <c r="BF212" s="82"/>
      <c r="BG212" s="82"/>
      <c r="BH212" s="82"/>
      <c r="BI212" s="82"/>
      <c r="BJ212" s="82"/>
      <c r="BK212" s="82"/>
      <c r="BL212" s="82"/>
      <c r="BM212" s="82"/>
    </row>
    <row r="213" spans="1:65" x14ac:dyDescent="0.25">
      <c r="A213" s="82"/>
      <c r="B213" s="82"/>
      <c r="C213" s="82"/>
      <c r="D213" s="82"/>
      <c r="E213" s="82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  <c r="AF213" s="82"/>
      <c r="AG213" s="82"/>
      <c r="AH213" s="82"/>
      <c r="AI213" s="82"/>
      <c r="AJ213" s="82"/>
      <c r="AK213" s="82"/>
      <c r="AL213" s="82"/>
      <c r="AM213" s="82"/>
      <c r="AN213" s="82"/>
      <c r="AO213" s="82"/>
      <c r="AP213" s="82"/>
      <c r="AQ213" s="82"/>
      <c r="AR213" s="82"/>
      <c r="AS213" s="82"/>
      <c r="AT213" s="82"/>
      <c r="AU213" s="82"/>
      <c r="AV213" s="82"/>
      <c r="AW213" s="82"/>
      <c r="AX213" s="82"/>
      <c r="AY213" s="82"/>
      <c r="AZ213" s="82"/>
      <c r="BA213" s="82"/>
      <c r="BB213" s="82"/>
      <c r="BC213" s="82"/>
      <c r="BD213" s="82"/>
      <c r="BE213" s="82"/>
      <c r="BF213" s="82"/>
      <c r="BG213" s="82"/>
      <c r="BH213" s="82"/>
      <c r="BI213" s="82"/>
      <c r="BJ213" s="82"/>
      <c r="BK213" s="82"/>
      <c r="BL213" s="82"/>
      <c r="BM213" s="82"/>
    </row>
    <row r="214" spans="1:65" x14ac:dyDescent="0.25">
      <c r="A214" s="82"/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  <c r="AF214" s="82"/>
      <c r="AG214" s="82"/>
      <c r="AH214" s="82"/>
      <c r="AI214" s="82"/>
      <c r="AJ214" s="82"/>
      <c r="AK214" s="82"/>
      <c r="AL214" s="82"/>
      <c r="AM214" s="82"/>
      <c r="AN214" s="82"/>
      <c r="AO214" s="82"/>
      <c r="AP214" s="82"/>
      <c r="AQ214" s="82"/>
      <c r="AR214" s="82"/>
      <c r="AS214" s="82"/>
      <c r="AT214" s="82"/>
      <c r="AU214" s="82"/>
      <c r="AV214" s="82"/>
      <c r="AW214" s="82"/>
      <c r="AX214" s="82"/>
      <c r="AY214" s="82"/>
      <c r="AZ214" s="82"/>
      <c r="BA214" s="82"/>
      <c r="BB214" s="82"/>
      <c r="BC214" s="82"/>
      <c r="BD214" s="82"/>
      <c r="BE214" s="82"/>
      <c r="BF214" s="82"/>
      <c r="BG214" s="82"/>
      <c r="BH214" s="82"/>
      <c r="BI214" s="82"/>
      <c r="BJ214" s="82"/>
      <c r="BK214" s="82"/>
      <c r="BL214" s="82"/>
      <c r="BM214" s="82"/>
    </row>
    <row r="215" spans="1:65" x14ac:dyDescent="0.25">
      <c r="A215" s="82"/>
      <c r="B215" s="82"/>
      <c r="C215" s="82"/>
      <c r="D215" s="82"/>
      <c r="E215" s="82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  <c r="AF215" s="82"/>
      <c r="AG215" s="82"/>
      <c r="AH215" s="82"/>
      <c r="AI215" s="82"/>
      <c r="AJ215" s="82"/>
      <c r="AK215" s="82"/>
      <c r="AL215" s="82"/>
      <c r="AM215" s="82"/>
      <c r="AN215" s="82"/>
      <c r="AO215" s="82"/>
      <c r="AP215" s="82"/>
      <c r="AQ215" s="82"/>
      <c r="AR215" s="82"/>
      <c r="AS215" s="82"/>
      <c r="AT215" s="82"/>
      <c r="AU215" s="82"/>
      <c r="AV215" s="82"/>
      <c r="AW215" s="82"/>
      <c r="AX215" s="82"/>
      <c r="AY215" s="82"/>
      <c r="AZ215" s="82"/>
      <c r="BA215" s="82"/>
      <c r="BB215" s="82"/>
      <c r="BC215" s="82"/>
      <c r="BD215" s="82"/>
      <c r="BE215" s="82"/>
      <c r="BF215" s="82"/>
      <c r="BG215" s="82"/>
      <c r="BH215" s="82"/>
      <c r="BI215" s="82"/>
      <c r="BJ215" s="82"/>
      <c r="BK215" s="82"/>
      <c r="BL215" s="82"/>
      <c r="BM215" s="82"/>
    </row>
    <row r="216" spans="1:65" x14ac:dyDescent="0.25">
      <c r="A216" s="82"/>
      <c r="B216" s="82"/>
      <c r="C216" s="82"/>
      <c r="D216" s="82"/>
      <c r="E216" s="82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</row>
    <row r="217" spans="1:65" x14ac:dyDescent="0.25">
      <c r="A217" s="82"/>
      <c r="B217" s="82"/>
      <c r="C217" s="82"/>
      <c r="D217" s="82"/>
      <c r="E217" s="82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</row>
    <row r="218" spans="1:65" x14ac:dyDescent="0.25">
      <c r="A218" s="82"/>
      <c r="B218" s="82"/>
      <c r="C218" s="82"/>
      <c r="D218" s="82"/>
      <c r="E218" s="82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</row>
    <row r="219" spans="1:65" x14ac:dyDescent="0.25">
      <c r="A219" s="82"/>
      <c r="B219" s="82"/>
      <c r="C219" s="82"/>
      <c r="D219" s="82"/>
      <c r="E219" s="82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  <c r="AF219" s="82"/>
      <c r="AG219" s="82"/>
      <c r="AH219" s="82"/>
      <c r="AI219" s="82"/>
      <c r="AJ219" s="82"/>
      <c r="AK219" s="82"/>
      <c r="AL219" s="82"/>
      <c r="AM219" s="82"/>
      <c r="AN219" s="82"/>
      <c r="AO219" s="82"/>
      <c r="AP219" s="82"/>
      <c r="AQ219" s="82"/>
      <c r="AR219" s="82"/>
      <c r="AS219" s="82"/>
      <c r="AT219" s="82"/>
      <c r="AU219" s="82"/>
      <c r="AV219" s="82"/>
      <c r="AW219" s="82"/>
      <c r="AX219" s="82"/>
      <c r="AY219" s="82"/>
      <c r="AZ219" s="82"/>
      <c r="BA219" s="82"/>
      <c r="BB219" s="82"/>
      <c r="BC219" s="82"/>
      <c r="BD219" s="82"/>
      <c r="BE219" s="82"/>
      <c r="BF219" s="82"/>
      <c r="BG219" s="82"/>
      <c r="BH219" s="82"/>
      <c r="BI219" s="82"/>
      <c r="BJ219" s="82"/>
      <c r="BK219" s="82"/>
      <c r="BL219" s="82"/>
      <c r="BM219" s="82"/>
    </row>
    <row r="220" spans="1:65" x14ac:dyDescent="0.25">
      <c r="A220" s="82"/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</row>
    <row r="221" spans="1:65" x14ac:dyDescent="0.25">
      <c r="A221" s="82"/>
      <c r="B221" s="82"/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</row>
    <row r="222" spans="1:65" x14ac:dyDescent="0.25">
      <c r="A222" s="82"/>
      <c r="B222" s="82"/>
      <c r="C222" s="82"/>
      <c r="D222" s="82"/>
      <c r="E222" s="82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  <c r="AF222" s="82"/>
      <c r="AG222" s="82"/>
      <c r="AH222" s="82"/>
      <c r="AI222" s="82"/>
      <c r="AJ222" s="82"/>
      <c r="AK222" s="82"/>
      <c r="AL222" s="82"/>
      <c r="AM222" s="82"/>
      <c r="AN222" s="82"/>
      <c r="AO222" s="82"/>
      <c r="AP222" s="82"/>
      <c r="AQ222" s="82"/>
      <c r="AR222" s="82"/>
      <c r="AS222" s="82"/>
      <c r="AT222" s="82"/>
      <c r="AU222" s="82"/>
      <c r="AV222" s="82"/>
      <c r="AW222" s="82"/>
      <c r="AX222" s="82"/>
      <c r="AY222" s="82"/>
      <c r="AZ222" s="82"/>
      <c r="BA222" s="82"/>
      <c r="BB222" s="82"/>
      <c r="BC222" s="82"/>
      <c r="BD222" s="82"/>
      <c r="BE222" s="82"/>
      <c r="BF222" s="82"/>
      <c r="BG222" s="82"/>
      <c r="BH222" s="82"/>
      <c r="BI222" s="82"/>
      <c r="BJ222" s="82"/>
      <c r="BK222" s="82"/>
      <c r="BL222" s="82"/>
      <c r="BM222" s="82"/>
    </row>
    <row r="223" spans="1:65" x14ac:dyDescent="0.25">
      <c r="A223" s="82"/>
      <c r="B223" s="82"/>
      <c r="C223" s="82"/>
      <c r="D223" s="82"/>
      <c r="E223" s="82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</row>
    <row r="224" spans="1:65" x14ac:dyDescent="0.25">
      <c r="A224" s="82"/>
      <c r="B224" s="82"/>
      <c r="C224" s="82"/>
      <c r="D224" s="82"/>
      <c r="E224" s="82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</row>
    <row r="225" spans="1:65" x14ac:dyDescent="0.25">
      <c r="A225" s="82"/>
      <c r="B225" s="82"/>
      <c r="C225" s="82"/>
      <c r="D225" s="82"/>
      <c r="E225" s="82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</row>
    <row r="226" spans="1:65" x14ac:dyDescent="0.25">
      <c r="A226" s="82"/>
      <c r="B226" s="82"/>
      <c r="C226" s="82"/>
      <c r="D226" s="82"/>
      <c r="E226" s="82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</row>
    <row r="227" spans="1:65" x14ac:dyDescent="0.25">
      <c r="A227" s="82"/>
      <c r="B227" s="82"/>
      <c r="C227" s="82"/>
      <c r="D227" s="82"/>
      <c r="E227" s="82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</row>
    <row r="228" spans="1:65" x14ac:dyDescent="0.25">
      <c r="A228" s="82"/>
      <c r="B228" s="82"/>
      <c r="C228" s="82"/>
      <c r="D228" s="82"/>
      <c r="E228" s="82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</row>
    <row r="229" spans="1:65" x14ac:dyDescent="0.25">
      <c r="A229" s="82"/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2"/>
      <c r="AG229" s="82"/>
      <c r="AH229" s="82"/>
      <c r="AI229" s="82"/>
      <c r="AJ229" s="82"/>
      <c r="AK229" s="82"/>
      <c r="AL229" s="82"/>
      <c r="AM229" s="82"/>
      <c r="AN229" s="82"/>
      <c r="AO229" s="82"/>
      <c r="AP229" s="82"/>
      <c r="AQ229" s="82"/>
      <c r="AR229" s="82"/>
      <c r="AS229" s="82"/>
      <c r="AT229" s="82"/>
      <c r="AU229" s="82"/>
      <c r="AV229" s="82"/>
      <c r="AW229" s="82"/>
      <c r="AX229" s="82"/>
      <c r="AY229" s="82"/>
      <c r="AZ229" s="82"/>
      <c r="BA229" s="82"/>
      <c r="BB229" s="82"/>
      <c r="BC229" s="82"/>
      <c r="BD229" s="82"/>
      <c r="BE229" s="82"/>
      <c r="BF229" s="82"/>
      <c r="BG229" s="82"/>
      <c r="BH229" s="82"/>
      <c r="BI229" s="82"/>
      <c r="BJ229" s="82"/>
      <c r="BK229" s="82"/>
      <c r="BL229" s="82"/>
      <c r="BM229" s="82"/>
    </row>
    <row r="230" spans="1:65" x14ac:dyDescent="0.25">
      <c r="A230" s="82"/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  <c r="AF230" s="82"/>
      <c r="AG230" s="82"/>
      <c r="AH230" s="82"/>
      <c r="AI230" s="82"/>
      <c r="AJ230" s="82"/>
      <c r="AK230" s="82"/>
      <c r="AL230" s="82"/>
      <c r="AM230" s="82"/>
      <c r="AN230" s="82"/>
      <c r="AO230" s="82"/>
      <c r="AP230" s="82"/>
      <c r="AQ230" s="82"/>
      <c r="AR230" s="82"/>
      <c r="AS230" s="82"/>
      <c r="AT230" s="82"/>
      <c r="AU230" s="82"/>
      <c r="AV230" s="82"/>
      <c r="AW230" s="82"/>
      <c r="AX230" s="82"/>
      <c r="AY230" s="82"/>
      <c r="AZ230" s="82"/>
      <c r="BA230" s="82"/>
      <c r="BB230" s="82"/>
      <c r="BC230" s="82"/>
      <c r="BD230" s="82"/>
      <c r="BE230" s="82"/>
      <c r="BF230" s="82"/>
      <c r="BG230" s="82"/>
      <c r="BH230" s="82"/>
      <c r="BI230" s="82"/>
      <c r="BJ230" s="82"/>
      <c r="BK230" s="82"/>
      <c r="BL230" s="82"/>
      <c r="BM230" s="82"/>
    </row>
    <row r="231" spans="1:65" x14ac:dyDescent="0.25">
      <c r="A231" s="82"/>
      <c r="B231" s="82"/>
      <c r="C231" s="82"/>
      <c r="D231" s="82"/>
      <c r="E231" s="82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2"/>
      <c r="AG231" s="82"/>
      <c r="AH231" s="82"/>
      <c r="AI231" s="82"/>
      <c r="AJ231" s="82"/>
      <c r="AK231" s="82"/>
      <c r="AL231" s="82"/>
      <c r="AM231" s="82"/>
      <c r="AN231" s="82"/>
      <c r="AO231" s="82"/>
      <c r="AP231" s="82"/>
      <c r="AQ231" s="82"/>
      <c r="AR231" s="82"/>
      <c r="AS231" s="82"/>
      <c r="AT231" s="82"/>
      <c r="AU231" s="82"/>
      <c r="AV231" s="82"/>
      <c r="AW231" s="82"/>
      <c r="AX231" s="82"/>
      <c r="AY231" s="82"/>
      <c r="AZ231" s="82"/>
      <c r="BA231" s="82"/>
      <c r="BB231" s="82"/>
      <c r="BC231" s="82"/>
      <c r="BD231" s="82"/>
      <c r="BE231" s="82"/>
      <c r="BF231" s="82"/>
      <c r="BG231" s="82"/>
      <c r="BH231" s="82"/>
      <c r="BI231" s="82"/>
      <c r="BJ231" s="82"/>
      <c r="BK231" s="82"/>
      <c r="BL231" s="82"/>
      <c r="BM231" s="82"/>
    </row>
    <row r="232" spans="1:65" x14ac:dyDescent="0.25">
      <c r="A232" s="82"/>
      <c r="B232" s="82"/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  <c r="AH232" s="82"/>
      <c r="AI232" s="82"/>
      <c r="AJ232" s="82"/>
      <c r="AK232" s="82"/>
      <c r="AL232" s="82"/>
      <c r="AM232" s="82"/>
      <c r="AN232" s="82"/>
      <c r="AO232" s="82"/>
      <c r="AP232" s="82"/>
      <c r="AQ232" s="82"/>
      <c r="AR232" s="82"/>
      <c r="AS232" s="82"/>
      <c r="AT232" s="82"/>
      <c r="AU232" s="82"/>
      <c r="AV232" s="82"/>
      <c r="AW232" s="82"/>
      <c r="AX232" s="82"/>
      <c r="AY232" s="82"/>
      <c r="AZ232" s="82"/>
      <c r="BA232" s="82"/>
      <c r="BB232" s="82"/>
      <c r="BC232" s="82"/>
      <c r="BD232" s="82"/>
      <c r="BE232" s="82"/>
      <c r="BF232" s="82"/>
      <c r="BG232" s="82"/>
      <c r="BH232" s="82"/>
      <c r="BI232" s="82"/>
      <c r="BJ232" s="82"/>
      <c r="BK232" s="82"/>
      <c r="BL232" s="82"/>
      <c r="BM232" s="82"/>
    </row>
    <row r="233" spans="1:65" x14ac:dyDescent="0.25">
      <c r="A233" s="82"/>
      <c r="B233" s="82"/>
      <c r="C233" s="82"/>
      <c r="D233" s="82"/>
      <c r="E233" s="82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  <c r="AF233" s="82"/>
      <c r="AG233" s="82"/>
      <c r="AH233" s="82"/>
      <c r="AI233" s="82"/>
      <c r="AJ233" s="82"/>
      <c r="AK233" s="82"/>
      <c r="AL233" s="82"/>
      <c r="AM233" s="82"/>
      <c r="AN233" s="82"/>
      <c r="AO233" s="82"/>
      <c r="AP233" s="82"/>
      <c r="AQ233" s="82"/>
      <c r="AR233" s="82"/>
      <c r="AS233" s="82"/>
      <c r="AT233" s="82"/>
      <c r="AU233" s="82"/>
      <c r="AV233" s="82"/>
      <c r="AW233" s="82"/>
      <c r="AX233" s="82"/>
      <c r="AY233" s="82"/>
      <c r="AZ233" s="82"/>
      <c r="BA233" s="82"/>
      <c r="BB233" s="82"/>
      <c r="BC233" s="82"/>
      <c r="BD233" s="82"/>
      <c r="BE233" s="82"/>
      <c r="BF233" s="82"/>
      <c r="BG233" s="82"/>
      <c r="BH233" s="82"/>
      <c r="BI233" s="82"/>
      <c r="BJ233" s="82"/>
      <c r="BK233" s="82"/>
      <c r="BL233" s="82"/>
      <c r="BM233" s="82"/>
    </row>
    <row r="234" spans="1:65" x14ac:dyDescent="0.25">
      <c r="A234" s="82"/>
      <c r="B234" s="82"/>
      <c r="C234" s="82"/>
      <c r="D234" s="82"/>
      <c r="E234" s="82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  <c r="AF234" s="82"/>
      <c r="AG234" s="82"/>
      <c r="AH234" s="82"/>
      <c r="AI234" s="82"/>
      <c r="AJ234" s="82"/>
      <c r="AK234" s="82"/>
      <c r="AL234" s="82"/>
      <c r="AM234" s="82"/>
      <c r="AN234" s="82"/>
      <c r="AO234" s="82"/>
      <c r="AP234" s="82"/>
      <c r="AQ234" s="82"/>
      <c r="AR234" s="82"/>
      <c r="AS234" s="82"/>
      <c r="AT234" s="82"/>
      <c r="AU234" s="82"/>
      <c r="AV234" s="82"/>
      <c r="AW234" s="82"/>
      <c r="AX234" s="82"/>
      <c r="AY234" s="82"/>
      <c r="AZ234" s="82"/>
      <c r="BA234" s="82"/>
      <c r="BB234" s="82"/>
      <c r="BC234" s="82"/>
      <c r="BD234" s="82"/>
      <c r="BE234" s="82"/>
      <c r="BF234" s="82"/>
      <c r="BG234" s="82"/>
      <c r="BH234" s="82"/>
      <c r="BI234" s="82"/>
      <c r="BJ234" s="82"/>
      <c r="BK234" s="82"/>
      <c r="BL234" s="82"/>
      <c r="BM234" s="82"/>
    </row>
    <row r="235" spans="1:65" x14ac:dyDescent="0.25">
      <c r="A235" s="82"/>
      <c r="B235" s="82"/>
      <c r="C235" s="82"/>
      <c r="D235" s="82"/>
      <c r="E235" s="82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  <c r="AF235" s="82"/>
      <c r="AG235" s="82"/>
      <c r="AH235" s="82"/>
      <c r="AI235" s="82"/>
      <c r="AJ235" s="82"/>
      <c r="AK235" s="82"/>
      <c r="AL235" s="82"/>
      <c r="AM235" s="82"/>
      <c r="AN235" s="82"/>
      <c r="AO235" s="82"/>
      <c r="AP235" s="82"/>
      <c r="AQ235" s="82"/>
      <c r="AR235" s="82"/>
      <c r="AS235" s="82"/>
      <c r="AT235" s="82"/>
      <c r="AU235" s="82"/>
      <c r="AV235" s="82"/>
      <c r="AW235" s="82"/>
      <c r="AX235" s="82"/>
      <c r="AY235" s="82"/>
      <c r="AZ235" s="82"/>
      <c r="BA235" s="82"/>
      <c r="BB235" s="82"/>
      <c r="BC235" s="82"/>
      <c r="BD235" s="82"/>
      <c r="BE235" s="82"/>
      <c r="BF235" s="82"/>
      <c r="BG235" s="82"/>
      <c r="BH235" s="82"/>
      <c r="BI235" s="82"/>
      <c r="BJ235" s="82"/>
      <c r="BK235" s="82"/>
      <c r="BL235" s="82"/>
      <c r="BM235" s="82"/>
    </row>
    <row r="236" spans="1:65" x14ac:dyDescent="0.25">
      <c r="A236" s="82"/>
      <c r="B236" s="82"/>
      <c r="C236" s="82"/>
      <c r="D236" s="82"/>
      <c r="E236" s="82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  <c r="AF236" s="82"/>
      <c r="AG236" s="82"/>
      <c r="AH236" s="82"/>
      <c r="AI236" s="82"/>
      <c r="AJ236" s="82"/>
      <c r="AK236" s="82"/>
      <c r="AL236" s="82"/>
      <c r="AM236" s="82"/>
      <c r="AN236" s="82"/>
      <c r="AO236" s="82"/>
      <c r="AP236" s="82"/>
      <c r="AQ236" s="82"/>
      <c r="AR236" s="82"/>
      <c r="AS236" s="82"/>
      <c r="AT236" s="82"/>
      <c r="AU236" s="82"/>
      <c r="AV236" s="82"/>
      <c r="AW236" s="82"/>
      <c r="AX236" s="82"/>
      <c r="AY236" s="82"/>
      <c r="AZ236" s="82"/>
      <c r="BA236" s="82"/>
      <c r="BB236" s="82"/>
      <c r="BC236" s="82"/>
      <c r="BD236" s="82"/>
      <c r="BE236" s="82"/>
      <c r="BF236" s="82"/>
      <c r="BG236" s="82"/>
      <c r="BH236" s="82"/>
      <c r="BI236" s="82"/>
      <c r="BJ236" s="82"/>
      <c r="BK236" s="82"/>
      <c r="BL236" s="82"/>
      <c r="BM236" s="82"/>
    </row>
    <row r="237" spans="1:65" x14ac:dyDescent="0.25">
      <c r="A237" s="82"/>
      <c r="B237" s="82"/>
      <c r="C237" s="82"/>
      <c r="D237" s="82"/>
      <c r="E237" s="82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  <c r="AF237" s="82"/>
      <c r="AG237" s="82"/>
      <c r="AH237" s="82"/>
      <c r="AI237" s="82"/>
      <c r="AJ237" s="82"/>
      <c r="AK237" s="82"/>
      <c r="AL237" s="82"/>
      <c r="AM237" s="82"/>
      <c r="AN237" s="82"/>
      <c r="AO237" s="82"/>
      <c r="AP237" s="82"/>
      <c r="AQ237" s="82"/>
      <c r="AR237" s="82"/>
      <c r="AS237" s="82"/>
      <c r="AT237" s="82"/>
      <c r="AU237" s="82"/>
      <c r="AV237" s="82"/>
      <c r="AW237" s="82"/>
      <c r="AX237" s="82"/>
      <c r="AY237" s="82"/>
      <c r="AZ237" s="82"/>
      <c r="BA237" s="82"/>
      <c r="BB237" s="82"/>
      <c r="BC237" s="82"/>
      <c r="BD237" s="82"/>
      <c r="BE237" s="82"/>
      <c r="BF237" s="82"/>
      <c r="BG237" s="82"/>
      <c r="BH237" s="82"/>
      <c r="BI237" s="82"/>
      <c r="BJ237" s="82"/>
      <c r="BK237" s="82"/>
      <c r="BL237" s="82"/>
      <c r="BM237" s="82"/>
    </row>
    <row r="238" spans="1:65" x14ac:dyDescent="0.25">
      <c r="A238" s="82"/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  <c r="AF238" s="82"/>
      <c r="AG238" s="82"/>
      <c r="AH238" s="82"/>
      <c r="AI238" s="82"/>
      <c r="AJ238" s="82"/>
      <c r="AK238" s="82"/>
      <c r="AL238" s="82"/>
      <c r="AM238" s="82"/>
      <c r="AN238" s="82"/>
      <c r="AO238" s="82"/>
      <c r="AP238" s="82"/>
      <c r="AQ238" s="82"/>
      <c r="AR238" s="82"/>
      <c r="AS238" s="82"/>
      <c r="AT238" s="82"/>
      <c r="AU238" s="82"/>
      <c r="AV238" s="82"/>
      <c r="AW238" s="82"/>
      <c r="AX238" s="82"/>
      <c r="AY238" s="82"/>
      <c r="AZ238" s="82"/>
      <c r="BA238" s="82"/>
      <c r="BB238" s="82"/>
      <c r="BC238" s="82"/>
      <c r="BD238" s="82"/>
      <c r="BE238" s="82"/>
      <c r="BF238" s="82"/>
      <c r="BG238" s="82"/>
      <c r="BH238" s="82"/>
      <c r="BI238" s="82"/>
      <c r="BJ238" s="82"/>
      <c r="BK238" s="82"/>
      <c r="BL238" s="82"/>
      <c r="BM238" s="82"/>
    </row>
    <row r="239" spans="1:65" x14ac:dyDescent="0.25">
      <c r="A239" s="82"/>
      <c r="B239" s="82"/>
      <c r="C239" s="82"/>
      <c r="D239" s="82"/>
      <c r="E239" s="82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  <c r="AF239" s="82"/>
      <c r="AG239" s="82"/>
      <c r="AH239" s="82"/>
      <c r="AI239" s="82"/>
      <c r="AJ239" s="82"/>
      <c r="AK239" s="82"/>
      <c r="AL239" s="82"/>
      <c r="AM239" s="82"/>
      <c r="AN239" s="82"/>
      <c r="AO239" s="82"/>
      <c r="AP239" s="82"/>
      <c r="AQ239" s="82"/>
      <c r="AR239" s="82"/>
      <c r="AS239" s="82"/>
      <c r="AT239" s="82"/>
      <c r="AU239" s="82"/>
      <c r="AV239" s="82"/>
      <c r="AW239" s="82"/>
      <c r="AX239" s="82"/>
      <c r="AY239" s="82"/>
      <c r="AZ239" s="82"/>
      <c r="BA239" s="82"/>
      <c r="BB239" s="82"/>
      <c r="BC239" s="82"/>
      <c r="BD239" s="82"/>
      <c r="BE239" s="82"/>
      <c r="BF239" s="82"/>
      <c r="BG239" s="82"/>
      <c r="BH239" s="82"/>
      <c r="BI239" s="82"/>
      <c r="BJ239" s="82"/>
      <c r="BK239" s="82"/>
      <c r="BL239" s="82"/>
      <c r="BM239" s="82"/>
    </row>
    <row r="240" spans="1:65" x14ac:dyDescent="0.25">
      <c r="A240" s="82"/>
      <c r="B240" s="82"/>
      <c r="C240" s="82"/>
      <c r="D240" s="82"/>
      <c r="E240" s="82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  <c r="AF240" s="82"/>
      <c r="AG240" s="82"/>
      <c r="AH240" s="82"/>
      <c r="AI240" s="82"/>
      <c r="AJ240" s="82"/>
      <c r="AK240" s="82"/>
      <c r="AL240" s="82"/>
      <c r="AM240" s="82"/>
      <c r="AN240" s="82"/>
      <c r="AO240" s="82"/>
      <c r="AP240" s="82"/>
      <c r="AQ240" s="82"/>
      <c r="AR240" s="82"/>
      <c r="AS240" s="82"/>
      <c r="AT240" s="82"/>
      <c r="AU240" s="82"/>
      <c r="AV240" s="82"/>
      <c r="AW240" s="82"/>
      <c r="AX240" s="82"/>
      <c r="AY240" s="82"/>
      <c r="AZ240" s="82"/>
      <c r="BA240" s="82"/>
      <c r="BB240" s="82"/>
      <c r="BC240" s="82"/>
      <c r="BD240" s="82"/>
      <c r="BE240" s="82"/>
      <c r="BF240" s="82"/>
      <c r="BG240" s="82"/>
      <c r="BH240" s="82"/>
      <c r="BI240" s="82"/>
      <c r="BJ240" s="82"/>
      <c r="BK240" s="82"/>
      <c r="BL240" s="82"/>
      <c r="BM240" s="82"/>
    </row>
    <row r="241" spans="1:65" x14ac:dyDescent="0.25">
      <c r="A241" s="82"/>
      <c r="B241" s="82"/>
      <c r="C241" s="82"/>
      <c r="D241" s="82"/>
      <c r="E241" s="82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  <c r="AF241" s="82"/>
      <c r="AG241" s="82"/>
      <c r="AH241" s="82"/>
      <c r="AI241" s="82"/>
      <c r="AJ241" s="82"/>
      <c r="AK241" s="82"/>
      <c r="AL241" s="82"/>
      <c r="AM241" s="82"/>
      <c r="AN241" s="82"/>
      <c r="AO241" s="82"/>
      <c r="AP241" s="82"/>
      <c r="AQ241" s="82"/>
      <c r="AR241" s="82"/>
      <c r="AS241" s="82"/>
      <c r="AT241" s="82"/>
      <c r="AU241" s="82"/>
      <c r="AV241" s="82"/>
      <c r="AW241" s="82"/>
      <c r="AX241" s="82"/>
      <c r="AY241" s="82"/>
      <c r="AZ241" s="82"/>
      <c r="BA241" s="82"/>
      <c r="BB241" s="82"/>
      <c r="BC241" s="82"/>
      <c r="BD241" s="82"/>
      <c r="BE241" s="82"/>
      <c r="BF241" s="82"/>
      <c r="BG241" s="82"/>
      <c r="BH241" s="82"/>
      <c r="BI241" s="82"/>
      <c r="BJ241" s="82"/>
      <c r="BK241" s="82"/>
      <c r="BL241" s="82"/>
      <c r="BM241" s="82"/>
    </row>
    <row r="242" spans="1:65" x14ac:dyDescent="0.25">
      <c r="A242" s="82"/>
      <c r="B242" s="82"/>
      <c r="C242" s="82"/>
      <c r="D242" s="82"/>
      <c r="E242" s="82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  <c r="AF242" s="82"/>
      <c r="AG242" s="82"/>
      <c r="AH242" s="82"/>
      <c r="AI242" s="82"/>
      <c r="AJ242" s="82"/>
      <c r="AK242" s="82"/>
      <c r="AL242" s="82"/>
      <c r="AM242" s="82"/>
      <c r="AN242" s="82"/>
      <c r="AO242" s="82"/>
      <c r="AP242" s="82"/>
      <c r="AQ242" s="82"/>
      <c r="AR242" s="82"/>
      <c r="AS242" s="82"/>
      <c r="AT242" s="82"/>
      <c r="AU242" s="82"/>
      <c r="AV242" s="82"/>
      <c r="AW242" s="82"/>
      <c r="AX242" s="82"/>
      <c r="AY242" s="82"/>
      <c r="AZ242" s="82"/>
      <c r="BA242" s="82"/>
      <c r="BB242" s="82"/>
      <c r="BC242" s="82"/>
      <c r="BD242" s="82"/>
      <c r="BE242" s="82"/>
      <c r="BF242" s="82"/>
      <c r="BG242" s="82"/>
      <c r="BH242" s="82"/>
      <c r="BI242" s="82"/>
      <c r="BJ242" s="82"/>
      <c r="BK242" s="82"/>
      <c r="BL242" s="82"/>
      <c r="BM242" s="82"/>
    </row>
    <row r="243" spans="1:65" x14ac:dyDescent="0.25">
      <c r="A243" s="82"/>
      <c r="B243" s="82"/>
      <c r="C243" s="82"/>
      <c r="D243" s="82"/>
      <c r="E243" s="82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  <c r="AF243" s="82"/>
      <c r="AG243" s="82"/>
      <c r="AH243" s="82"/>
      <c r="AI243" s="82"/>
      <c r="AJ243" s="82"/>
      <c r="AK243" s="82"/>
      <c r="AL243" s="82"/>
      <c r="AM243" s="82"/>
      <c r="AN243" s="82"/>
      <c r="AO243" s="82"/>
      <c r="AP243" s="82"/>
      <c r="AQ243" s="82"/>
      <c r="AR243" s="82"/>
      <c r="AS243" s="82"/>
      <c r="AT243" s="82"/>
      <c r="AU243" s="82"/>
      <c r="AV243" s="82"/>
      <c r="AW243" s="82"/>
      <c r="AX243" s="82"/>
      <c r="AY243" s="82"/>
      <c r="AZ243" s="82"/>
      <c r="BA243" s="82"/>
      <c r="BB243" s="82"/>
      <c r="BC243" s="82"/>
      <c r="BD243" s="82"/>
      <c r="BE243" s="82"/>
      <c r="BF243" s="82"/>
      <c r="BG243" s="82"/>
      <c r="BH243" s="82"/>
      <c r="BI243" s="82"/>
      <c r="BJ243" s="82"/>
      <c r="BK243" s="82"/>
      <c r="BL243" s="82"/>
      <c r="BM243" s="82"/>
    </row>
    <row r="244" spans="1:65" x14ac:dyDescent="0.25">
      <c r="A244" s="82"/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  <c r="AH244" s="82"/>
      <c r="AI244" s="82"/>
      <c r="AJ244" s="82"/>
      <c r="AK244" s="82"/>
      <c r="AL244" s="82"/>
      <c r="AM244" s="82"/>
      <c r="AN244" s="82"/>
      <c r="AO244" s="82"/>
      <c r="AP244" s="82"/>
      <c r="AQ244" s="82"/>
      <c r="AR244" s="82"/>
      <c r="AS244" s="82"/>
      <c r="AT244" s="82"/>
      <c r="AU244" s="82"/>
      <c r="AV244" s="82"/>
      <c r="AW244" s="82"/>
      <c r="AX244" s="82"/>
      <c r="AY244" s="82"/>
      <c r="AZ244" s="82"/>
      <c r="BA244" s="82"/>
      <c r="BB244" s="82"/>
      <c r="BC244" s="82"/>
      <c r="BD244" s="82"/>
      <c r="BE244" s="82"/>
      <c r="BF244" s="82"/>
      <c r="BG244" s="82"/>
      <c r="BH244" s="82"/>
      <c r="BI244" s="82"/>
      <c r="BJ244" s="82"/>
      <c r="BK244" s="82"/>
      <c r="BL244" s="82"/>
      <c r="BM244" s="82"/>
    </row>
    <row r="245" spans="1:65" x14ac:dyDescent="0.25">
      <c r="A245" s="82"/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  <c r="AH245" s="82"/>
      <c r="AI245" s="82"/>
      <c r="AJ245" s="82"/>
      <c r="AK245" s="82"/>
      <c r="AL245" s="82"/>
      <c r="AM245" s="82"/>
      <c r="AN245" s="82"/>
      <c r="AO245" s="82"/>
      <c r="AP245" s="82"/>
      <c r="AQ245" s="82"/>
      <c r="AR245" s="82"/>
      <c r="AS245" s="82"/>
      <c r="AT245" s="82"/>
      <c r="AU245" s="82"/>
      <c r="AV245" s="82"/>
      <c r="AW245" s="82"/>
      <c r="AX245" s="82"/>
      <c r="AY245" s="82"/>
      <c r="AZ245" s="82"/>
      <c r="BA245" s="82"/>
      <c r="BB245" s="82"/>
      <c r="BC245" s="82"/>
      <c r="BD245" s="82"/>
      <c r="BE245" s="82"/>
      <c r="BF245" s="82"/>
      <c r="BG245" s="82"/>
      <c r="BH245" s="82"/>
      <c r="BI245" s="82"/>
      <c r="BJ245" s="82"/>
      <c r="BK245" s="82"/>
      <c r="BL245" s="82"/>
      <c r="BM245" s="82"/>
    </row>
    <row r="246" spans="1:65" x14ac:dyDescent="0.25">
      <c r="A246" s="82"/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  <c r="AH246" s="82"/>
      <c r="AI246" s="82"/>
      <c r="AJ246" s="82"/>
      <c r="AK246" s="82"/>
      <c r="AL246" s="82"/>
      <c r="AM246" s="82"/>
      <c r="AN246" s="82"/>
      <c r="AO246" s="82"/>
      <c r="AP246" s="82"/>
      <c r="AQ246" s="82"/>
      <c r="AR246" s="82"/>
      <c r="AS246" s="82"/>
      <c r="AT246" s="82"/>
      <c r="AU246" s="82"/>
      <c r="AV246" s="82"/>
      <c r="AW246" s="82"/>
      <c r="AX246" s="82"/>
      <c r="AY246" s="82"/>
      <c r="AZ246" s="82"/>
      <c r="BA246" s="82"/>
      <c r="BB246" s="82"/>
      <c r="BC246" s="82"/>
      <c r="BD246" s="82"/>
      <c r="BE246" s="82"/>
      <c r="BF246" s="82"/>
      <c r="BG246" s="82"/>
      <c r="BH246" s="82"/>
      <c r="BI246" s="82"/>
      <c r="BJ246" s="82"/>
      <c r="BK246" s="82"/>
      <c r="BL246" s="82"/>
      <c r="BM246" s="82"/>
    </row>
    <row r="247" spans="1:65" x14ac:dyDescent="0.25">
      <c r="A247" s="82"/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  <c r="AH247" s="82"/>
      <c r="AI247" s="82"/>
      <c r="AJ247" s="82"/>
      <c r="AK247" s="82"/>
      <c r="AL247" s="82"/>
      <c r="AM247" s="82"/>
      <c r="AN247" s="82"/>
      <c r="AO247" s="82"/>
      <c r="AP247" s="82"/>
      <c r="AQ247" s="82"/>
      <c r="AR247" s="82"/>
      <c r="AS247" s="82"/>
      <c r="AT247" s="82"/>
      <c r="AU247" s="82"/>
      <c r="AV247" s="82"/>
      <c r="AW247" s="82"/>
      <c r="AX247" s="82"/>
      <c r="AY247" s="82"/>
      <c r="AZ247" s="82"/>
      <c r="BA247" s="82"/>
      <c r="BB247" s="82"/>
      <c r="BC247" s="82"/>
      <c r="BD247" s="82"/>
      <c r="BE247" s="82"/>
      <c r="BF247" s="82"/>
      <c r="BG247" s="82"/>
      <c r="BH247" s="82"/>
      <c r="BI247" s="82"/>
      <c r="BJ247" s="82"/>
      <c r="BK247" s="82"/>
      <c r="BL247" s="82"/>
      <c r="BM247" s="82"/>
    </row>
    <row r="248" spans="1:65" x14ac:dyDescent="0.25">
      <c r="A248" s="82"/>
      <c r="B248" s="82"/>
      <c r="C248" s="82"/>
      <c r="D248" s="82"/>
      <c r="E248" s="82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  <c r="AF248" s="82"/>
      <c r="AG248" s="82"/>
      <c r="AH248" s="82"/>
      <c r="AI248" s="82"/>
      <c r="AJ248" s="82"/>
      <c r="AK248" s="82"/>
      <c r="AL248" s="82"/>
      <c r="AM248" s="82"/>
      <c r="AN248" s="82"/>
      <c r="AO248" s="82"/>
      <c r="AP248" s="82"/>
      <c r="AQ248" s="82"/>
      <c r="AR248" s="82"/>
      <c r="AS248" s="82"/>
      <c r="AT248" s="82"/>
      <c r="AU248" s="82"/>
      <c r="AV248" s="82"/>
      <c r="AW248" s="82"/>
      <c r="AX248" s="82"/>
      <c r="AY248" s="82"/>
      <c r="AZ248" s="82"/>
      <c r="BA248" s="82"/>
      <c r="BB248" s="82"/>
      <c r="BC248" s="82"/>
      <c r="BD248" s="82"/>
      <c r="BE248" s="82"/>
      <c r="BF248" s="82"/>
      <c r="BG248" s="82"/>
      <c r="BH248" s="82"/>
      <c r="BI248" s="82"/>
      <c r="BJ248" s="82"/>
      <c r="BK248" s="82"/>
      <c r="BL248" s="82"/>
      <c r="BM248" s="82"/>
    </row>
    <row r="249" spans="1:65" x14ac:dyDescent="0.25">
      <c r="A249" s="82"/>
      <c r="B249" s="82"/>
      <c r="C249" s="82"/>
      <c r="D249" s="82"/>
      <c r="E249" s="82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  <c r="AF249" s="82"/>
      <c r="AG249" s="82"/>
      <c r="AH249" s="82"/>
      <c r="AI249" s="82"/>
      <c r="AJ249" s="82"/>
      <c r="AK249" s="82"/>
      <c r="AL249" s="82"/>
      <c r="AM249" s="82"/>
      <c r="AN249" s="82"/>
      <c r="AO249" s="82"/>
      <c r="AP249" s="82"/>
      <c r="AQ249" s="82"/>
      <c r="AR249" s="82"/>
      <c r="AS249" s="82"/>
      <c r="AT249" s="82"/>
      <c r="AU249" s="82"/>
      <c r="AV249" s="82"/>
      <c r="AW249" s="82"/>
      <c r="AX249" s="82"/>
      <c r="AY249" s="82"/>
      <c r="AZ249" s="82"/>
      <c r="BA249" s="82"/>
      <c r="BB249" s="82"/>
      <c r="BC249" s="82"/>
      <c r="BD249" s="82"/>
      <c r="BE249" s="82"/>
      <c r="BF249" s="82"/>
      <c r="BG249" s="82"/>
      <c r="BH249" s="82"/>
      <c r="BI249" s="82"/>
      <c r="BJ249" s="82"/>
      <c r="BK249" s="82"/>
      <c r="BL249" s="82"/>
      <c r="BM249" s="82"/>
    </row>
    <row r="250" spans="1:65" x14ac:dyDescent="0.25">
      <c r="A250" s="82"/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  <c r="AH250" s="82"/>
      <c r="AI250" s="82"/>
      <c r="AJ250" s="82"/>
      <c r="AK250" s="82"/>
      <c r="AL250" s="82"/>
      <c r="AM250" s="82"/>
      <c r="AN250" s="82"/>
      <c r="AO250" s="82"/>
      <c r="AP250" s="82"/>
      <c r="AQ250" s="82"/>
      <c r="AR250" s="82"/>
      <c r="AS250" s="82"/>
      <c r="AT250" s="82"/>
      <c r="AU250" s="82"/>
      <c r="AV250" s="82"/>
      <c r="AW250" s="82"/>
      <c r="AX250" s="82"/>
      <c r="AY250" s="82"/>
      <c r="AZ250" s="82"/>
      <c r="BA250" s="82"/>
      <c r="BB250" s="82"/>
      <c r="BC250" s="82"/>
      <c r="BD250" s="82"/>
      <c r="BE250" s="82"/>
      <c r="BF250" s="82"/>
      <c r="BG250" s="82"/>
      <c r="BH250" s="82"/>
      <c r="BI250" s="82"/>
      <c r="BJ250" s="82"/>
      <c r="BK250" s="82"/>
      <c r="BL250" s="82"/>
      <c r="BM250" s="82"/>
    </row>
    <row r="251" spans="1:65" x14ac:dyDescent="0.25">
      <c r="A251" s="82"/>
      <c r="B251" s="82"/>
      <c r="C251" s="82"/>
      <c r="D251" s="82"/>
      <c r="E251" s="82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  <c r="AF251" s="82"/>
      <c r="AG251" s="82"/>
      <c r="AH251" s="82"/>
      <c r="AI251" s="82"/>
      <c r="AJ251" s="82"/>
      <c r="AK251" s="82"/>
      <c r="AL251" s="82"/>
      <c r="AM251" s="82"/>
      <c r="AN251" s="82"/>
      <c r="AO251" s="82"/>
      <c r="AP251" s="82"/>
      <c r="AQ251" s="82"/>
      <c r="AR251" s="82"/>
      <c r="AS251" s="82"/>
      <c r="AT251" s="82"/>
      <c r="AU251" s="82"/>
      <c r="AV251" s="82"/>
      <c r="AW251" s="82"/>
      <c r="AX251" s="82"/>
      <c r="AY251" s="82"/>
      <c r="AZ251" s="82"/>
      <c r="BA251" s="82"/>
      <c r="BB251" s="82"/>
      <c r="BC251" s="82"/>
      <c r="BD251" s="82"/>
      <c r="BE251" s="82"/>
      <c r="BF251" s="82"/>
      <c r="BG251" s="82"/>
      <c r="BH251" s="82"/>
      <c r="BI251" s="82"/>
      <c r="BJ251" s="82"/>
      <c r="BK251" s="82"/>
      <c r="BL251" s="82"/>
      <c r="BM251" s="82"/>
    </row>
    <row r="252" spans="1:65" x14ac:dyDescent="0.25">
      <c r="A252" s="82"/>
      <c r="B252" s="82"/>
      <c r="C252" s="82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2"/>
      <c r="AH252" s="82"/>
      <c r="AI252" s="82"/>
      <c r="AJ252" s="82"/>
      <c r="AK252" s="82"/>
      <c r="AL252" s="82"/>
      <c r="AM252" s="82"/>
      <c r="AN252" s="82"/>
      <c r="AO252" s="82"/>
      <c r="AP252" s="82"/>
      <c r="AQ252" s="82"/>
      <c r="AR252" s="82"/>
      <c r="AS252" s="82"/>
      <c r="AT252" s="82"/>
      <c r="AU252" s="82"/>
      <c r="AV252" s="82"/>
      <c r="AW252" s="82"/>
      <c r="AX252" s="82"/>
      <c r="AY252" s="82"/>
      <c r="AZ252" s="82"/>
      <c r="BA252" s="82"/>
      <c r="BB252" s="82"/>
      <c r="BC252" s="82"/>
      <c r="BD252" s="82"/>
      <c r="BE252" s="82"/>
      <c r="BF252" s="82"/>
      <c r="BG252" s="82"/>
      <c r="BH252" s="82"/>
      <c r="BI252" s="82"/>
      <c r="BJ252" s="82"/>
      <c r="BK252" s="82"/>
      <c r="BL252" s="82"/>
      <c r="BM252" s="82"/>
    </row>
    <row r="253" spans="1:65" x14ac:dyDescent="0.25">
      <c r="A253" s="82"/>
      <c r="B253" s="82"/>
      <c r="C253" s="82"/>
      <c r="D253" s="82"/>
      <c r="E253" s="82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  <c r="AF253" s="82"/>
      <c r="AG253" s="82"/>
      <c r="AH253" s="82"/>
      <c r="AI253" s="82"/>
      <c r="AJ253" s="82"/>
      <c r="AK253" s="82"/>
      <c r="AL253" s="82"/>
      <c r="AM253" s="82"/>
      <c r="AN253" s="82"/>
      <c r="AO253" s="82"/>
      <c r="AP253" s="82"/>
      <c r="AQ253" s="82"/>
      <c r="AR253" s="82"/>
      <c r="AS253" s="82"/>
      <c r="AT253" s="82"/>
      <c r="AU253" s="82"/>
      <c r="AV253" s="82"/>
      <c r="AW253" s="82"/>
      <c r="AX253" s="82"/>
      <c r="AY253" s="82"/>
      <c r="AZ253" s="82"/>
      <c r="BA253" s="82"/>
      <c r="BB253" s="82"/>
      <c r="BC253" s="82"/>
      <c r="BD253" s="82"/>
      <c r="BE253" s="82"/>
      <c r="BF253" s="82"/>
      <c r="BG253" s="82"/>
      <c r="BH253" s="82"/>
      <c r="BI253" s="82"/>
      <c r="BJ253" s="82"/>
      <c r="BK253" s="82"/>
      <c r="BL253" s="82"/>
      <c r="BM253" s="82"/>
    </row>
    <row r="254" spans="1:65" x14ac:dyDescent="0.25">
      <c r="A254" s="82"/>
      <c r="B254" s="82"/>
      <c r="C254" s="82"/>
      <c r="D254" s="82"/>
      <c r="E254" s="82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  <c r="AF254" s="82"/>
      <c r="AG254" s="82"/>
      <c r="AH254" s="82"/>
      <c r="AI254" s="82"/>
      <c r="AJ254" s="82"/>
      <c r="AK254" s="82"/>
      <c r="AL254" s="82"/>
      <c r="AM254" s="82"/>
      <c r="AN254" s="82"/>
      <c r="AO254" s="82"/>
      <c r="AP254" s="82"/>
      <c r="AQ254" s="82"/>
      <c r="AR254" s="82"/>
      <c r="AS254" s="82"/>
      <c r="AT254" s="82"/>
      <c r="AU254" s="82"/>
      <c r="AV254" s="82"/>
      <c r="AW254" s="82"/>
      <c r="AX254" s="82"/>
      <c r="AY254" s="82"/>
      <c r="AZ254" s="82"/>
      <c r="BA254" s="82"/>
      <c r="BB254" s="82"/>
      <c r="BC254" s="82"/>
      <c r="BD254" s="82"/>
      <c r="BE254" s="82"/>
      <c r="BF254" s="82"/>
      <c r="BG254" s="82"/>
      <c r="BH254" s="82"/>
      <c r="BI254" s="82"/>
      <c r="BJ254" s="82"/>
      <c r="BK254" s="82"/>
      <c r="BL254" s="82"/>
      <c r="BM254" s="82"/>
    </row>
    <row r="255" spans="1:65" x14ac:dyDescent="0.25">
      <c r="A255" s="82"/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  <c r="AH255" s="82"/>
      <c r="AI255" s="82"/>
      <c r="AJ255" s="82"/>
      <c r="AK255" s="82"/>
      <c r="AL255" s="82"/>
      <c r="AM255" s="82"/>
      <c r="AN255" s="82"/>
      <c r="AO255" s="82"/>
      <c r="AP255" s="82"/>
      <c r="AQ255" s="82"/>
      <c r="AR255" s="82"/>
      <c r="AS255" s="82"/>
      <c r="AT255" s="82"/>
      <c r="AU255" s="82"/>
      <c r="AV255" s="82"/>
      <c r="AW255" s="82"/>
      <c r="AX255" s="82"/>
      <c r="AY255" s="82"/>
      <c r="AZ255" s="82"/>
      <c r="BA255" s="82"/>
      <c r="BB255" s="82"/>
      <c r="BC255" s="82"/>
      <c r="BD255" s="82"/>
      <c r="BE255" s="82"/>
      <c r="BF255" s="82"/>
      <c r="BG255" s="82"/>
      <c r="BH255" s="82"/>
      <c r="BI255" s="82"/>
      <c r="BJ255" s="82"/>
      <c r="BK255" s="82"/>
      <c r="BL255" s="82"/>
      <c r="BM255" s="82"/>
    </row>
    <row r="256" spans="1:65" x14ac:dyDescent="0.25">
      <c r="A256" s="82"/>
      <c r="B256" s="82"/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  <c r="AH256" s="82"/>
      <c r="AI256" s="82"/>
      <c r="AJ256" s="82"/>
      <c r="AK256" s="82"/>
      <c r="AL256" s="82"/>
      <c r="AM256" s="82"/>
      <c r="AN256" s="82"/>
      <c r="AO256" s="82"/>
      <c r="AP256" s="82"/>
      <c r="AQ256" s="82"/>
      <c r="AR256" s="82"/>
      <c r="AS256" s="82"/>
      <c r="AT256" s="82"/>
      <c r="AU256" s="82"/>
      <c r="AV256" s="82"/>
      <c r="AW256" s="82"/>
      <c r="AX256" s="82"/>
      <c r="AY256" s="82"/>
      <c r="AZ256" s="82"/>
      <c r="BA256" s="82"/>
      <c r="BB256" s="82"/>
      <c r="BC256" s="82"/>
      <c r="BD256" s="82"/>
      <c r="BE256" s="82"/>
      <c r="BF256" s="82"/>
      <c r="BG256" s="82"/>
      <c r="BH256" s="82"/>
      <c r="BI256" s="82"/>
      <c r="BJ256" s="82"/>
      <c r="BK256" s="82"/>
      <c r="BL256" s="82"/>
      <c r="BM256" s="82"/>
    </row>
    <row r="257" spans="1:65" x14ac:dyDescent="0.25">
      <c r="A257" s="82"/>
      <c r="B257" s="82"/>
      <c r="C257" s="82"/>
      <c r="D257" s="82"/>
      <c r="E257" s="82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  <c r="AF257" s="82"/>
      <c r="AG257" s="82"/>
      <c r="AH257" s="82"/>
      <c r="AI257" s="82"/>
      <c r="AJ257" s="82"/>
      <c r="AK257" s="82"/>
      <c r="AL257" s="82"/>
      <c r="AM257" s="82"/>
      <c r="AN257" s="82"/>
      <c r="AO257" s="82"/>
      <c r="AP257" s="82"/>
      <c r="AQ257" s="82"/>
      <c r="AR257" s="82"/>
      <c r="AS257" s="82"/>
      <c r="AT257" s="82"/>
      <c r="AU257" s="82"/>
      <c r="AV257" s="82"/>
      <c r="AW257" s="82"/>
      <c r="AX257" s="82"/>
      <c r="AY257" s="82"/>
      <c r="AZ257" s="82"/>
      <c r="BA257" s="82"/>
      <c r="BB257" s="82"/>
      <c r="BC257" s="82"/>
      <c r="BD257" s="82"/>
      <c r="BE257" s="82"/>
      <c r="BF257" s="82"/>
      <c r="BG257" s="82"/>
      <c r="BH257" s="82"/>
      <c r="BI257" s="82"/>
      <c r="BJ257" s="82"/>
      <c r="BK257" s="82"/>
      <c r="BL257" s="82"/>
      <c r="BM257" s="82"/>
    </row>
    <row r="258" spans="1:65" x14ac:dyDescent="0.25">
      <c r="A258" s="82"/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  <c r="AF258" s="82"/>
      <c r="AG258" s="82"/>
      <c r="AH258" s="82"/>
      <c r="AI258" s="82"/>
      <c r="AJ258" s="82"/>
      <c r="AK258" s="82"/>
      <c r="AL258" s="82"/>
      <c r="AM258" s="82"/>
      <c r="AN258" s="82"/>
      <c r="AO258" s="82"/>
      <c r="AP258" s="82"/>
      <c r="AQ258" s="82"/>
      <c r="AR258" s="82"/>
      <c r="AS258" s="82"/>
      <c r="AT258" s="82"/>
      <c r="AU258" s="82"/>
      <c r="AV258" s="82"/>
      <c r="AW258" s="82"/>
      <c r="AX258" s="82"/>
      <c r="AY258" s="82"/>
      <c r="AZ258" s="82"/>
      <c r="BA258" s="82"/>
      <c r="BB258" s="82"/>
      <c r="BC258" s="82"/>
      <c r="BD258" s="82"/>
      <c r="BE258" s="82"/>
      <c r="BF258" s="82"/>
      <c r="BG258" s="82"/>
      <c r="BH258" s="82"/>
      <c r="BI258" s="82"/>
      <c r="BJ258" s="82"/>
      <c r="BK258" s="82"/>
      <c r="BL258" s="82"/>
      <c r="BM258" s="82"/>
    </row>
    <row r="259" spans="1:65" x14ac:dyDescent="0.25">
      <c r="A259" s="82"/>
      <c r="B259" s="8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  <c r="AF259" s="82"/>
      <c r="AG259" s="82"/>
      <c r="AH259" s="82"/>
      <c r="AI259" s="82"/>
      <c r="AJ259" s="82"/>
      <c r="AK259" s="82"/>
      <c r="AL259" s="82"/>
      <c r="AM259" s="82"/>
      <c r="AN259" s="82"/>
      <c r="AO259" s="82"/>
      <c r="AP259" s="82"/>
      <c r="AQ259" s="82"/>
      <c r="AR259" s="82"/>
      <c r="AS259" s="82"/>
      <c r="AT259" s="82"/>
      <c r="AU259" s="82"/>
      <c r="AV259" s="82"/>
      <c r="AW259" s="82"/>
      <c r="AX259" s="82"/>
      <c r="AY259" s="82"/>
      <c r="AZ259" s="82"/>
      <c r="BA259" s="82"/>
      <c r="BB259" s="82"/>
      <c r="BC259" s="82"/>
      <c r="BD259" s="82"/>
      <c r="BE259" s="82"/>
      <c r="BF259" s="82"/>
      <c r="BG259" s="82"/>
      <c r="BH259" s="82"/>
      <c r="BI259" s="82"/>
      <c r="BJ259" s="82"/>
      <c r="BK259" s="82"/>
      <c r="BL259" s="82"/>
      <c r="BM259" s="82"/>
    </row>
    <row r="260" spans="1:65" x14ac:dyDescent="0.25">
      <c r="A260" s="82"/>
      <c r="B260" s="82"/>
      <c r="C260" s="82"/>
      <c r="D260" s="82"/>
      <c r="E260" s="82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  <c r="AF260" s="82"/>
      <c r="AG260" s="82"/>
      <c r="AH260" s="82"/>
      <c r="AI260" s="82"/>
      <c r="AJ260" s="82"/>
      <c r="AK260" s="82"/>
      <c r="AL260" s="82"/>
      <c r="AM260" s="82"/>
      <c r="AN260" s="82"/>
      <c r="AO260" s="82"/>
      <c r="AP260" s="82"/>
      <c r="AQ260" s="82"/>
      <c r="AR260" s="82"/>
      <c r="AS260" s="82"/>
      <c r="AT260" s="82"/>
      <c r="AU260" s="82"/>
      <c r="AV260" s="82"/>
      <c r="AW260" s="82"/>
      <c r="AX260" s="82"/>
      <c r="AY260" s="82"/>
      <c r="AZ260" s="82"/>
      <c r="BA260" s="82"/>
      <c r="BB260" s="82"/>
      <c r="BC260" s="82"/>
      <c r="BD260" s="82"/>
      <c r="BE260" s="82"/>
      <c r="BF260" s="82"/>
      <c r="BG260" s="82"/>
      <c r="BH260" s="82"/>
      <c r="BI260" s="82"/>
      <c r="BJ260" s="82"/>
      <c r="BK260" s="82"/>
      <c r="BL260" s="82"/>
      <c r="BM260" s="82"/>
    </row>
    <row r="261" spans="1:65" x14ac:dyDescent="0.25">
      <c r="A261" s="82"/>
      <c r="B261" s="82"/>
      <c r="C261" s="82"/>
      <c r="D261" s="82"/>
      <c r="E261" s="82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  <c r="AF261" s="82"/>
      <c r="AG261" s="82"/>
      <c r="AH261" s="82"/>
      <c r="AI261" s="82"/>
      <c r="AJ261" s="82"/>
      <c r="AK261" s="82"/>
      <c r="AL261" s="82"/>
      <c r="AM261" s="82"/>
      <c r="AN261" s="82"/>
      <c r="AO261" s="82"/>
      <c r="AP261" s="82"/>
      <c r="AQ261" s="82"/>
      <c r="AR261" s="82"/>
      <c r="AS261" s="82"/>
      <c r="AT261" s="82"/>
      <c r="AU261" s="82"/>
      <c r="AV261" s="82"/>
      <c r="AW261" s="82"/>
      <c r="AX261" s="82"/>
      <c r="AY261" s="82"/>
      <c r="AZ261" s="82"/>
      <c r="BA261" s="82"/>
      <c r="BB261" s="82"/>
      <c r="BC261" s="82"/>
      <c r="BD261" s="82"/>
      <c r="BE261" s="82"/>
      <c r="BF261" s="82"/>
      <c r="BG261" s="82"/>
      <c r="BH261" s="82"/>
      <c r="BI261" s="82"/>
      <c r="BJ261" s="82"/>
      <c r="BK261" s="82"/>
      <c r="BL261" s="82"/>
      <c r="BM261" s="82"/>
    </row>
    <row r="262" spans="1:65" x14ac:dyDescent="0.25">
      <c r="A262" s="82"/>
      <c r="B262" s="82"/>
      <c r="C262" s="82"/>
      <c r="D262" s="82"/>
      <c r="E262" s="82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  <c r="AF262" s="82"/>
      <c r="AG262" s="82"/>
      <c r="AH262" s="82"/>
      <c r="AI262" s="82"/>
      <c r="AJ262" s="82"/>
      <c r="AK262" s="82"/>
      <c r="AL262" s="82"/>
      <c r="AM262" s="82"/>
      <c r="AN262" s="82"/>
      <c r="AO262" s="82"/>
      <c r="AP262" s="82"/>
      <c r="AQ262" s="82"/>
      <c r="AR262" s="82"/>
      <c r="AS262" s="82"/>
      <c r="AT262" s="82"/>
      <c r="AU262" s="82"/>
      <c r="AV262" s="82"/>
      <c r="AW262" s="82"/>
      <c r="AX262" s="82"/>
      <c r="AY262" s="82"/>
      <c r="AZ262" s="82"/>
      <c r="BA262" s="82"/>
      <c r="BB262" s="82"/>
      <c r="BC262" s="82"/>
      <c r="BD262" s="82"/>
      <c r="BE262" s="82"/>
      <c r="BF262" s="82"/>
      <c r="BG262" s="82"/>
      <c r="BH262" s="82"/>
      <c r="BI262" s="82"/>
      <c r="BJ262" s="82"/>
      <c r="BK262" s="82"/>
      <c r="BL262" s="82"/>
      <c r="BM262" s="82"/>
    </row>
    <row r="263" spans="1:65" x14ac:dyDescent="0.25">
      <c r="A263" s="82"/>
      <c r="B263" s="82"/>
      <c r="C263" s="82"/>
      <c r="D263" s="82"/>
      <c r="E263" s="82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  <c r="AF263" s="82"/>
      <c r="AG263" s="82"/>
      <c r="AH263" s="82"/>
      <c r="AI263" s="82"/>
      <c r="AJ263" s="82"/>
      <c r="AK263" s="82"/>
      <c r="AL263" s="82"/>
      <c r="AM263" s="82"/>
      <c r="AN263" s="82"/>
      <c r="AO263" s="82"/>
      <c r="AP263" s="82"/>
      <c r="AQ263" s="82"/>
      <c r="AR263" s="82"/>
      <c r="AS263" s="82"/>
      <c r="AT263" s="82"/>
      <c r="AU263" s="82"/>
      <c r="AV263" s="82"/>
      <c r="AW263" s="82"/>
      <c r="AX263" s="82"/>
      <c r="AY263" s="82"/>
      <c r="AZ263" s="82"/>
      <c r="BA263" s="82"/>
      <c r="BB263" s="82"/>
      <c r="BC263" s="82"/>
      <c r="BD263" s="82"/>
      <c r="BE263" s="82"/>
      <c r="BF263" s="82"/>
      <c r="BG263" s="82"/>
      <c r="BH263" s="82"/>
      <c r="BI263" s="82"/>
      <c r="BJ263" s="82"/>
      <c r="BK263" s="82"/>
      <c r="BL263" s="82"/>
      <c r="BM263" s="82"/>
    </row>
    <row r="264" spans="1:65" x14ac:dyDescent="0.25">
      <c r="A264" s="82"/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  <c r="AH264" s="82"/>
      <c r="AI264" s="82"/>
      <c r="AJ264" s="82"/>
      <c r="AK264" s="82"/>
      <c r="AL264" s="82"/>
      <c r="AM264" s="82"/>
      <c r="AN264" s="82"/>
      <c r="AO264" s="82"/>
      <c r="AP264" s="82"/>
      <c r="AQ264" s="82"/>
      <c r="AR264" s="82"/>
      <c r="AS264" s="82"/>
      <c r="AT264" s="82"/>
      <c r="AU264" s="82"/>
      <c r="AV264" s="82"/>
      <c r="AW264" s="82"/>
      <c r="AX264" s="82"/>
      <c r="AY264" s="82"/>
      <c r="AZ264" s="82"/>
      <c r="BA264" s="82"/>
      <c r="BB264" s="82"/>
      <c r="BC264" s="82"/>
      <c r="BD264" s="82"/>
      <c r="BE264" s="82"/>
      <c r="BF264" s="82"/>
      <c r="BG264" s="82"/>
      <c r="BH264" s="82"/>
      <c r="BI264" s="82"/>
      <c r="BJ264" s="82"/>
      <c r="BK264" s="82"/>
      <c r="BL264" s="82"/>
      <c r="BM264" s="82"/>
    </row>
    <row r="265" spans="1:65" x14ac:dyDescent="0.25">
      <c r="A265" s="82"/>
      <c r="B265" s="82"/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  <c r="AH265" s="82"/>
      <c r="AI265" s="82"/>
      <c r="AJ265" s="82"/>
      <c r="AK265" s="82"/>
      <c r="AL265" s="82"/>
      <c r="AM265" s="82"/>
      <c r="AN265" s="82"/>
      <c r="AO265" s="82"/>
      <c r="AP265" s="82"/>
      <c r="AQ265" s="82"/>
      <c r="AR265" s="82"/>
      <c r="AS265" s="82"/>
      <c r="AT265" s="82"/>
      <c r="AU265" s="82"/>
      <c r="AV265" s="82"/>
      <c r="AW265" s="82"/>
      <c r="AX265" s="82"/>
      <c r="AY265" s="82"/>
      <c r="AZ265" s="82"/>
      <c r="BA265" s="82"/>
      <c r="BB265" s="82"/>
      <c r="BC265" s="82"/>
      <c r="BD265" s="82"/>
      <c r="BE265" s="82"/>
      <c r="BF265" s="82"/>
      <c r="BG265" s="82"/>
      <c r="BH265" s="82"/>
      <c r="BI265" s="82"/>
      <c r="BJ265" s="82"/>
      <c r="BK265" s="82"/>
      <c r="BL265" s="82"/>
      <c r="BM265" s="82"/>
    </row>
    <row r="266" spans="1:65" x14ac:dyDescent="0.25">
      <c r="A266" s="82"/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  <c r="AF266" s="82"/>
      <c r="AG266" s="82"/>
      <c r="AH266" s="82"/>
      <c r="AI266" s="82"/>
      <c r="AJ266" s="82"/>
      <c r="AK266" s="82"/>
      <c r="AL266" s="82"/>
      <c r="AM266" s="82"/>
      <c r="AN266" s="82"/>
      <c r="AO266" s="82"/>
      <c r="AP266" s="82"/>
      <c r="AQ266" s="82"/>
      <c r="AR266" s="82"/>
      <c r="AS266" s="82"/>
      <c r="AT266" s="82"/>
      <c r="AU266" s="82"/>
      <c r="AV266" s="82"/>
      <c r="AW266" s="82"/>
      <c r="AX266" s="82"/>
      <c r="AY266" s="82"/>
      <c r="AZ266" s="82"/>
      <c r="BA266" s="82"/>
      <c r="BB266" s="82"/>
      <c r="BC266" s="82"/>
      <c r="BD266" s="82"/>
      <c r="BE266" s="82"/>
      <c r="BF266" s="82"/>
      <c r="BG266" s="82"/>
      <c r="BH266" s="82"/>
      <c r="BI266" s="82"/>
      <c r="BJ266" s="82"/>
      <c r="BK266" s="82"/>
      <c r="BL266" s="82"/>
      <c r="BM266" s="82"/>
    </row>
    <row r="267" spans="1:65" x14ac:dyDescent="0.25">
      <c r="A267" s="82"/>
      <c r="B267" s="82"/>
      <c r="C267" s="82"/>
      <c r="D267" s="82"/>
      <c r="E267" s="82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  <c r="AF267" s="82"/>
      <c r="AG267" s="82"/>
      <c r="AH267" s="82"/>
      <c r="AI267" s="82"/>
      <c r="AJ267" s="82"/>
      <c r="AK267" s="82"/>
      <c r="AL267" s="82"/>
      <c r="AM267" s="82"/>
      <c r="AN267" s="82"/>
      <c r="AO267" s="82"/>
      <c r="AP267" s="82"/>
      <c r="AQ267" s="82"/>
      <c r="AR267" s="82"/>
      <c r="AS267" s="82"/>
      <c r="AT267" s="82"/>
      <c r="AU267" s="82"/>
      <c r="AV267" s="82"/>
      <c r="AW267" s="82"/>
      <c r="AX267" s="82"/>
      <c r="AY267" s="82"/>
      <c r="AZ267" s="82"/>
      <c r="BA267" s="82"/>
      <c r="BB267" s="82"/>
      <c r="BC267" s="82"/>
      <c r="BD267" s="82"/>
      <c r="BE267" s="82"/>
      <c r="BF267" s="82"/>
      <c r="BG267" s="82"/>
      <c r="BH267" s="82"/>
      <c r="BI267" s="82"/>
      <c r="BJ267" s="82"/>
      <c r="BK267" s="82"/>
      <c r="BL267" s="82"/>
      <c r="BM267" s="82"/>
    </row>
    <row r="268" spans="1:65" x14ac:dyDescent="0.25">
      <c r="A268" s="82"/>
      <c r="B268" s="82"/>
      <c r="C268" s="82"/>
      <c r="D268" s="82"/>
      <c r="E268" s="82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  <c r="AF268" s="82"/>
      <c r="AG268" s="82"/>
      <c r="AH268" s="82"/>
      <c r="AI268" s="82"/>
      <c r="AJ268" s="82"/>
      <c r="AK268" s="82"/>
      <c r="AL268" s="82"/>
      <c r="AM268" s="82"/>
      <c r="AN268" s="82"/>
      <c r="AO268" s="82"/>
      <c r="AP268" s="82"/>
      <c r="AQ268" s="82"/>
      <c r="AR268" s="82"/>
      <c r="AS268" s="82"/>
      <c r="AT268" s="82"/>
      <c r="AU268" s="82"/>
      <c r="AV268" s="82"/>
      <c r="AW268" s="82"/>
      <c r="AX268" s="82"/>
      <c r="AY268" s="82"/>
      <c r="AZ268" s="82"/>
      <c r="BA268" s="82"/>
      <c r="BB268" s="82"/>
      <c r="BC268" s="82"/>
      <c r="BD268" s="82"/>
      <c r="BE268" s="82"/>
      <c r="BF268" s="82"/>
      <c r="BG268" s="82"/>
      <c r="BH268" s="82"/>
      <c r="BI268" s="82"/>
      <c r="BJ268" s="82"/>
      <c r="BK268" s="82"/>
      <c r="BL268" s="82"/>
      <c r="BM268" s="82"/>
    </row>
    <row r="269" spans="1:65" x14ac:dyDescent="0.25">
      <c r="A269" s="82"/>
      <c r="B269" s="82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  <c r="AH269" s="82"/>
      <c r="AI269" s="82"/>
      <c r="AJ269" s="82"/>
      <c r="AK269" s="82"/>
      <c r="AL269" s="82"/>
      <c r="AM269" s="82"/>
      <c r="AN269" s="82"/>
      <c r="AO269" s="82"/>
      <c r="AP269" s="82"/>
      <c r="AQ269" s="82"/>
      <c r="AR269" s="82"/>
      <c r="AS269" s="82"/>
      <c r="AT269" s="82"/>
      <c r="AU269" s="82"/>
      <c r="AV269" s="82"/>
      <c r="AW269" s="82"/>
      <c r="AX269" s="82"/>
      <c r="AY269" s="82"/>
      <c r="AZ269" s="82"/>
      <c r="BA269" s="82"/>
      <c r="BB269" s="82"/>
      <c r="BC269" s="82"/>
      <c r="BD269" s="82"/>
      <c r="BE269" s="82"/>
      <c r="BF269" s="82"/>
      <c r="BG269" s="82"/>
      <c r="BH269" s="82"/>
      <c r="BI269" s="82"/>
      <c r="BJ269" s="82"/>
      <c r="BK269" s="82"/>
      <c r="BL269" s="82"/>
      <c r="BM269" s="82"/>
    </row>
    <row r="270" spans="1:65" x14ac:dyDescent="0.25">
      <c r="A270" s="82"/>
      <c r="B270" s="82"/>
      <c r="C270" s="82"/>
      <c r="D270" s="82"/>
      <c r="E270" s="82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  <c r="AF270" s="82"/>
      <c r="AG270" s="82"/>
      <c r="AH270" s="82"/>
      <c r="AI270" s="82"/>
      <c r="AJ270" s="82"/>
      <c r="AK270" s="82"/>
      <c r="AL270" s="82"/>
      <c r="AM270" s="82"/>
      <c r="AN270" s="82"/>
      <c r="AO270" s="82"/>
      <c r="AP270" s="82"/>
      <c r="AQ270" s="82"/>
      <c r="AR270" s="82"/>
      <c r="AS270" s="82"/>
      <c r="AT270" s="82"/>
      <c r="AU270" s="82"/>
      <c r="AV270" s="82"/>
      <c r="AW270" s="82"/>
      <c r="AX270" s="82"/>
      <c r="AY270" s="82"/>
      <c r="AZ270" s="82"/>
      <c r="BA270" s="82"/>
      <c r="BB270" s="82"/>
      <c r="BC270" s="82"/>
      <c r="BD270" s="82"/>
      <c r="BE270" s="82"/>
      <c r="BF270" s="82"/>
      <c r="BG270" s="82"/>
      <c r="BH270" s="82"/>
      <c r="BI270" s="82"/>
      <c r="BJ270" s="82"/>
      <c r="BK270" s="82"/>
      <c r="BL270" s="82"/>
      <c r="BM270" s="82"/>
    </row>
    <row r="271" spans="1:65" x14ac:dyDescent="0.25">
      <c r="A271" s="82"/>
      <c r="B271" s="82"/>
      <c r="C271" s="82"/>
      <c r="D271" s="82"/>
      <c r="E271" s="82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  <c r="AF271" s="82"/>
      <c r="AG271" s="82"/>
      <c r="AH271" s="82"/>
      <c r="AI271" s="82"/>
      <c r="AJ271" s="82"/>
      <c r="AK271" s="82"/>
      <c r="AL271" s="82"/>
      <c r="AM271" s="82"/>
      <c r="AN271" s="82"/>
      <c r="AO271" s="82"/>
      <c r="AP271" s="82"/>
      <c r="AQ271" s="82"/>
      <c r="AR271" s="82"/>
      <c r="AS271" s="82"/>
      <c r="AT271" s="82"/>
      <c r="AU271" s="82"/>
      <c r="AV271" s="82"/>
      <c r="AW271" s="82"/>
      <c r="AX271" s="82"/>
      <c r="AY271" s="82"/>
      <c r="AZ271" s="82"/>
      <c r="BA271" s="82"/>
      <c r="BB271" s="82"/>
      <c r="BC271" s="82"/>
      <c r="BD271" s="82"/>
      <c r="BE271" s="82"/>
      <c r="BF271" s="82"/>
      <c r="BG271" s="82"/>
      <c r="BH271" s="82"/>
      <c r="BI271" s="82"/>
      <c r="BJ271" s="82"/>
      <c r="BK271" s="82"/>
      <c r="BL271" s="82"/>
      <c r="BM271" s="82"/>
    </row>
    <row r="272" spans="1:65" x14ac:dyDescent="0.25">
      <c r="A272" s="82"/>
      <c r="B272" s="82"/>
      <c r="C272" s="82"/>
      <c r="D272" s="82"/>
      <c r="E272" s="82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  <c r="AF272" s="82"/>
      <c r="AG272" s="82"/>
      <c r="AH272" s="82"/>
      <c r="AI272" s="82"/>
      <c r="AJ272" s="82"/>
      <c r="AK272" s="82"/>
      <c r="AL272" s="82"/>
      <c r="AM272" s="82"/>
      <c r="AN272" s="82"/>
      <c r="AO272" s="82"/>
      <c r="AP272" s="82"/>
      <c r="AQ272" s="82"/>
      <c r="AR272" s="82"/>
      <c r="AS272" s="82"/>
      <c r="AT272" s="82"/>
      <c r="AU272" s="82"/>
      <c r="AV272" s="82"/>
      <c r="AW272" s="82"/>
      <c r="AX272" s="82"/>
      <c r="AY272" s="82"/>
      <c r="AZ272" s="82"/>
      <c r="BA272" s="82"/>
      <c r="BB272" s="82"/>
      <c r="BC272" s="82"/>
      <c r="BD272" s="82"/>
      <c r="BE272" s="82"/>
      <c r="BF272" s="82"/>
      <c r="BG272" s="82"/>
      <c r="BH272" s="82"/>
      <c r="BI272" s="82"/>
      <c r="BJ272" s="82"/>
      <c r="BK272" s="82"/>
      <c r="BL272" s="82"/>
      <c r="BM272" s="82"/>
    </row>
    <row r="273" spans="1:65" x14ac:dyDescent="0.25">
      <c r="A273" s="82"/>
      <c r="B273" s="82"/>
      <c r="C273" s="82"/>
      <c r="D273" s="82"/>
      <c r="E273" s="82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  <c r="AF273" s="82"/>
      <c r="AG273" s="82"/>
      <c r="AH273" s="82"/>
      <c r="AI273" s="82"/>
      <c r="AJ273" s="82"/>
      <c r="AK273" s="82"/>
      <c r="AL273" s="82"/>
      <c r="AM273" s="82"/>
      <c r="AN273" s="82"/>
      <c r="AO273" s="82"/>
      <c r="AP273" s="82"/>
      <c r="AQ273" s="82"/>
      <c r="AR273" s="82"/>
      <c r="AS273" s="82"/>
      <c r="AT273" s="82"/>
      <c r="AU273" s="82"/>
      <c r="AV273" s="82"/>
      <c r="AW273" s="82"/>
      <c r="AX273" s="82"/>
      <c r="AY273" s="82"/>
      <c r="AZ273" s="82"/>
      <c r="BA273" s="82"/>
      <c r="BB273" s="82"/>
      <c r="BC273" s="82"/>
      <c r="BD273" s="82"/>
      <c r="BE273" s="82"/>
      <c r="BF273" s="82"/>
      <c r="BG273" s="82"/>
      <c r="BH273" s="82"/>
      <c r="BI273" s="82"/>
      <c r="BJ273" s="82"/>
      <c r="BK273" s="82"/>
      <c r="BL273" s="82"/>
      <c r="BM273" s="82"/>
    </row>
    <row r="274" spans="1:65" x14ac:dyDescent="0.25">
      <c r="A274" s="82"/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  <c r="AH274" s="82"/>
      <c r="AI274" s="82"/>
      <c r="AJ274" s="82"/>
      <c r="AK274" s="82"/>
      <c r="AL274" s="82"/>
      <c r="AM274" s="82"/>
      <c r="AN274" s="82"/>
      <c r="AO274" s="82"/>
      <c r="AP274" s="82"/>
      <c r="AQ274" s="82"/>
      <c r="AR274" s="82"/>
      <c r="AS274" s="82"/>
      <c r="AT274" s="82"/>
      <c r="AU274" s="82"/>
      <c r="AV274" s="82"/>
      <c r="AW274" s="82"/>
      <c r="AX274" s="82"/>
      <c r="AY274" s="82"/>
      <c r="AZ274" s="82"/>
      <c r="BA274" s="82"/>
      <c r="BB274" s="82"/>
      <c r="BC274" s="82"/>
      <c r="BD274" s="82"/>
      <c r="BE274" s="82"/>
      <c r="BF274" s="82"/>
      <c r="BG274" s="82"/>
      <c r="BH274" s="82"/>
      <c r="BI274" s="82"/>
      <c r="BJ274" s="82"/>
      <c r="BK274" s="82"/>
      <c r="BL274" s="82"/>
      <c r="BM274" s="82"/>
    </row>
    <row r="275" spans="1:65" x14ac:dyDescent="0.25">
      <c r="A275" s="82"/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  <c r="AF275" s="82"/>
      <c r="AG275" s="82"/>
      <c r="AH275" s="82"/>
      <c r="AI275" s="82"/>
      <c r="AJ275" s="82"/>
      <c r="AK275" s="82"/>
      <c r="AL275" s="82"/>
      <c r="AM275" s="82"/>
      <c r="AN275" s="82"/>
      <c r="AO275" s="82"/>
      <c r="AP275" s="82"/>
      <c r="AQ275" s="82"/>
      <c r="AR275" s="82"/>
      <c r="AS275" s="82"/>
      <c r="AT275" s="82"/>
      <c r="AU275" s="82"/>
      <c r="AV275" s="82"/>
      <c r="AW275" s="82"/>
      <c r="AX275" s="82"/>
      <c r="AY275" s="82"/>
      <c r="AZ275" s="82"/>
      <c r="BA275" s="82"/>
      <c r="BB275" s="82"/>
      <c r="BC275" s="82"/>
      <c r="BD275" s="82"/>
      <c r="BE275" s="82"/>
      <c r="BF275" s="82"/>
      <c r="BG275" s="82"/>
      <c r="BH275" s="82"/>
      <c r="BI275" s="82"/>
      <c r="BJ275" s="82"/>
      <c r="BK275" s="82"/>
      <c r="BL275" s="82"/>
      <c r="BM275" s="82"/>
    </row>
    <row r="276" spans="1:65" x14ac:dyDescent="0.25">
      <c r="A276" s="82"/>
      <c r="B276" s="82"/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  <c r="AH276" s="82"/>
      <c r="AI276" s="82"/>
      <c r="AJ276" s="82"/>
      <c r="AK276" s="82"/>
      <c r="AL276" s="82"/>
      <c r="AM276" s="82"/>
      <c r="AN276" s="82"/>
      <c r="AO276" s="82"/>
      <c r="AP276" s="82"/>
      <c r="AQ276" s="82"/>
      <c r="AR276" s="82"/>
      <c r="AS276" s="82"/>
      <c r="AT276" s="82"/>
      <c r="AU276" s="82"/>
      <c r="AV276" s="82"/>
      <c r="AW276" s="82"/>
      <c r="AX276" s="82"/>
      <c r="AY276" s="82"/>
      <c r="AZ276" s="82"/>
      <c r="BA276" s="82"/>
      <c r="BB276" s="82"/>
      <c r="BC276" s="82"/>
      <c r="BD276" s="82"/>
      <c r="BE276" s="82"/>
      <c r="BF276" s="82"/>
      <c r="BG276" s="82"/>
      <c r="BH276" s="82"/>
      <c r="BI276" s="82"/>
      <c r="BJ276" s="82"/>
      <c r="BK276" s="82"/>
      <c r="BL276" s="82"/>
      <c r="BM276" s="82"/>
    </row>
    <row r="277" spans="1:65" x14ac:dyDescent="0.25">
      <c r="A277" s="82"/>
      <c r="B277" s="82"/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  <c r="AH277" s="82"/>
      <c r="AI277" s="82"/>
      <c r="AJ277" s="82"/>
      <c r="AK277" s="82"/>
      <c r="AL277" s="82"/>
      <c r="AM277" s="82"/>
      <c r="AN277" s="82"/>
      <c r="AO277" s="82"/>
      <c r="AP277" s="82"/>
      <c r="AQ277" s="82"/>
      <c r="AR277" s="82"/>
      <c r="AS277" s="82"/>
      <c r="AT277" s="82"/>
      <c r="AU277" s="82"/>
      <c r="AV277" s="82"/>
      <c r="AW277" s="82"/>
      <c r="AX277" s="82"/>
      <c r="AY277" s="82"/>
      <c r="AZ277" s="82"/>
      <c r="BA277" s="82"/>
      <c r="BB277" s="82"/>
      <c r="BC277" s="82"/>
      <c r="BD277" s="82"/>
      <c r="BE277" s="82"/>
      <c r="BF277" s="82"/>
      <c r="BG277" s="82"/>
      <c r="BH277" s="82"/>
      <c r="BI277" s="82"/>
      <c r="BJ277" s="82"/>
      <c r="BK277" s="82"/>
      <c r="BL277" s="82"/>
      <c r="BM277" s="82"/>
    </row>
    <row r="278" spans="1:65" x14ac:dyDescent="0.25">
      <c r="A278" s="82"/>
      <c r="B278" s="82"/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  <c r="AH278" s="82"/>
      <c r="AI278" s="82"/>
      <c r="AJ278" s="82"/>
      <c r="AK278" s="82"/>
      <c r="AL278" s="82"/>
      <c r="AM278" s="82"/>
      <c r="AN278" s="82"/>
      <c r="AO278" s="82"/>
      <c r="AP278" s="82"/>
      <c r="AQ278" s="82"/>
      <c r="AR278" s="82"/>
      <c r="AS278" s="82"/>
      <c r="AT278" s="82"/>
      <c r="AU278" s="82"/>
      <c r="AV278" s="82"/>
      <c r="AW278" s="82"/>
      <c r="AX278" s="82"/>
      <c r="AY278" s="82"/>
      <c r="AZ278" s="82"/>
      <c r="BA278" s="82"/>
      <c r="BB278" s="82"/>
      <c r="BC278" s="82"/>
      <c r="BD278" s="82"/>
      <c r="BE278" s="82"/>
      <c r="BF278" s="82"/>
      <c r="BG278" s="82"/>
      <c r="BH278" s="82"/>
      <c r="BI278" s="82"/>
      <c r="BJ278" s="82"/>
      <c r="BK278" s="82"/>
      <c r="BL278" s="82"/>
      <c r="BM278" s="82"/>
    </row>
    <row r="279" spans="1:65" x14ac:dyDescent="0.25">
      <c r="A279" s="82"/>
      <c r="B279" s="82"/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  <c r="AH279" s="82"/>
      <c r="AI279" s="82"/>
      <c r="AJ279" s="82"/>
      <c r="AK279" s="82"/>
      <c r="AL279" s="82"/>
      <c r="AM279" s="82"/>
      <c r="AN279" s="82"/>
      <c r="AO279" s="82"/>
      <c r="AP279" s="82"/>
      <c r="AQ279" s="82"/>
      <c r="AR279" s="82"/>
      <c r="AS279" s="82"/>
      <c r="AT279" s="82"/>
      <c r="AU279" s="82"/>
      <c r="AV279" s="82"/>
      <c r="AW279" s="82"/>
      <c r="AX279" s="82"/>
      <c r="AY279" s="82"/>
      <c r="AZ279" s="82"/>
      <c r="BA279" s="82"/>
      <c r="BB279" s="82"/>
      <c r="BC279" s="82"/>
      <c r="BD279" s="82"/>
      <c r="BE279" s="82"/>
      <c r="BF279" s="82"/>
      <c r="BG279" s="82"/>
      <c r="BH279" s="82"/>
      <c r="BI279" s="82"/>
      <c r="BJ279" s="82"/>
      <c r="BK279" s="82"/>
      <c r="BL279" s="82"/>
      <c r="BM279" s="82"/>
    </row>
    <row r="280" spans="1:65" x14ac:dyDescent="0.25">
      <c r="A280" s="82"/>
      <c r="B280" s="82"/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  <c r="AH280" s="82"/>
      <c r="AI280" s="82"/>
      <c r="AJ280" s="82"/>
      <c r="AK280" s="82"/>
      <c r="AL280" s="82"/>
      <c r="AM280" s="82"/>
      <c r="AN280" s="82"/>
      <c r="AO280" s="82"/>
      <c r="AP280" s="82"/>
      <c r="AQ280" s="82"/>
      <c r="AR280" s="82"/>
      <c r="AS280" s="82"/>
      <c r="AT280" s="82"/>
      <c r="AU280" s="82"/>
      <c r="AV280" s="82"/>
      <c r="AW280" s="82"/>
      <c r="AX280" s="82"/>
      <c r="AY280" s="82"/>
      <c r="AZ280" s="82"/>
      <c r="BA280" s="82"/>
      <c r="BB280" s="82"/>
      <c r="BC280" s="82"/>
      <c r="BD280" s="82"/>
      <c r="BE280" s="82"/>
      <c r="BF280" s="82"/>
      <c r="BG280" s="82"/>
      <c r="BH280" s="82"/>
      <c r="BI280" s="82"/>
      <c r="BJ280" s="82"/>
      <c r="BK280" s="82"/>
      <c r="BL280" s="82"/>
      <c r="BM280" s="82"/>
    </row>
    <row r="281" spans="1:65" x14ac:dyDescent="0.25">
      <c r="A281" s="82"/>
      <c r="B281" s="82"/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  <c r="AH281" s="82"/>
      <c r="AI281" s="82"/>
      <c r="AJ281" s="82"/>
      <c r="AK281" s="82"/>
      <c r="AL281" s="82"/>
      <c r="AM281" s="82"/>
      <c r="AN281" s="82"/>
      <c r="AO281" s="82"/>
      <c r="AP281" s="82"/>
      <c r="AQ281" s="82"/>
      <c r="AR281" s="82"/>
      <c r="AS281" s="82"/>
      <c r="AT281" s="82"/>
      <c r="AU281" s="82"/>
      <c r="AV281" s="82"/>
      <c r="AW281" s="82"/>
      <c r="AX281" s="82"/>
      <c r="AY281" s="82"/>
      <c r="AZ281" s="82"/>
      <c r="BA281" s="82"/>
      <c r="BB281" s="82"/>
      <c r="BC281" s="82"/>
      <c r="BD281" s="82"/>
      <c r="BE281" s="82"/>
      <c r="BF281" s="82"/>
      <c r="BG281" s="82"/>
      <c r="BH281" s="82"/>
      <c r="BI281" s="82"/>
      <c r="BJ281" s="82"/>
      <c r="BK281" s="82"/>
      <c r="BL281" s="82"/>
      <c r="BM281" s="82"/>
    </row>
    <row r="282" spans="1:65" x14ac:dyDescent="0.25">
      <c r="A282" s="82"/>
      <c r="B282" s="82"/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  <c r="AH282" s="82"/>
      <c r="AI282" s="82"/>
      <c r="AJ282" s="82"/>
      <c r="AK282" s="82"/>
      <c r="AL282" s="82"/>
      <c r="AM282" s="82"/>
      <c r="AN282" s="82"/>
      <c r="AO282" s="82"/>
      <c r="AP282" s="82"/>
      <c r="AQ282" s="82"/>
      <c r="AR282" s="82"/>
      <c r="AS282" s="82"/>
      <c r="AT282" s="82"/>
      <c r="AU282" s="82"/>
      <c r="AV282" s="82"/>
      <c r="AW282" s="82"/>
      <c r="AX282" s="82"/>
      <c r="AY282" s="82"/>
      <c r="AZ282" s="82"/>
      <c r="BA282" s="82"/>
      <c r="BB282" s="82"/>
      <c r="BC282" s="82"/>
      <c r="BD282" s="82"/>
      <c r="BE282" s="82"/>
      <c r="BF282" s="82"/>
      <c r="BG282" s="82"/>
      <c r="BH282" s="82"/>
      <c r="BI282" s="82"/>
      <c r="BJ282" s="82"/>
      <c r="BK282" s="82"/>
      <c r="BL282" s="82"/>
      <c r="BM282" s="82"/>
    </row>
    <row r="283" spans="1:65" x14ac:dyDescent="0.25">
      <c r="A283" s="82"/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  <c r="AH283" s="82"/>
      <c r="AI283" s="82"/>
      <c r="AJ283" s="82"/>
      <c r="AK283" s="82"/>
      <c r="AL283" s="82"/>
      <c r="AM283" s="82"/>
      <c r="AN283" s="82"/>
      <c r="AO283" s="82"/>
      <c r="AP283" s="82"/>
      <c r="AQ283" s="82"/>
      <c r="AR283" s="82"/>
      <c r="AS283" s="82"/>
      <c r="AT283" s="82"/>
      <c r="AU283" s="82"/>
      <c r="AV283" s="82"/>
      <c r="AW283" s="82"/>
      <c r="AX283" s="82"/>
      <c r="AY283" s="82"/>
      <c r="AZ283" s="82"/>
      <c r="BA283" s="82"/>
      <c r="BB283" s="82"/>
      <c r="BC283" s="82"/>
      <c r="BD283" s="82"/>
      <c r="BE283" s="82"/>
      <c r="BF283" s="82"/>
      <c r="BG283" s="82"/>
      <c r="BH283" s="82"/>
      <c r="BI283" s="82"/>
      <c r="BJ283" s="82"/>
      <c r="BK283" s="82"/>
      <c r="BL283" s="82"/>
      <c r="BM283" s="82"/>
    </row>
    <row r="284" spans="1:65" x14ac:dyDescent="0.25">
      <c r="A284" s="82"/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  <c r="AH284" s="82"/>
      <c r="AI284" s="82"/>
      <c r="AJ284" s="82"/>
      <c r="AK284" s="82"/>
      <c r="AL284" s="82"/>
      <c r="AM284" s="82"/>
      <c r="AN284" s="82"/>
      <c r="AO284" s="82"/>
      <c r="AP284" s="82"/>
      <c r="AQ284" s="82"/>
      <c r="AR284" s="82"/>
      <c r="AS284" s="82"/>
      <c r="AT284" s="82"/>
      <c r="AU284" s="82"/>
      <c r="AV284" s="82"/>
      <c r="AW284" s="82"/>
      <c r="AX284" s="82"/>
      <c r="AY284" s="82"/>
      <c r="AZ284" s="82"/>
      <c r="BA284" s="82"/>
      <c r="BB284" s="82"/>
      <c r="BC284" s="82"/>
      <c r="BD284" s="82"/>
      <c r="BE284" s="82"/>
      <c r="BF284" s="82"/>
      <c r="BG284" s="82"/>
      <c r="BH284" s="82"/>
      <c r="BI284" s="82"/>
      <c r="BJ284" s="82"/>
      <c r="BK284" s="82"/>
      <c r="BL284" s="82"/>
      <c r="BM284" s="82"/>
    </row>
    <row r="285" spans="1:65" x14ac:dyDescent="0.25">
      <c r="A285" s="82"/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  <c r="AH285" s="82"/>
      <c r="AI285" s="82"/>
      <c r="AJ285" s="82"/>
      <c r="AK285" s="82"/>
      <c r="AL285" s="82"/>
      <c r="AM285" s="82"/>
      <c r="AN285" s="82"/>
      <c r="AO285" s="82"/>
      <c r="AP285" s="82"/>
      <c r="AQ285" s="82"/>
      <c r="AR285" s="82"/>
      <c r="AS285" s="82"/>
      <c r="AT285" s="82"/>
      <c r="AU285" s="82"/>
      <c r="AV285" s="82"/>
      <c r="AW285" s="82"/>
      <c r="AX285" s="82"/>
      <c r="AY285" s="82"/>
      <c r="AZ285" s="82"/>
      <c r="BA285" s="82"/>
      <c r="BB285" s="82"/>
      <c r="BC285" s="82"/>
      <c r="BD285" s="82"/>
      <c r="BE285" s="82"/>
      <c r="BF285" s="82"/>
      <c r="BG285" s="82"/>
      <c r="BH285" s="82"/>
      <c r="BI285" s="82"/>
      <c r="BJ285" s="82"/>
      <c r="BK285" s="82"/>
      <c r="BL285" s="82"/>
      <c r="BM285" s="82"/>
    </row>
    <row r="286" spans="1:65" x14ac:dyDescent="0.25">
      <c r="A286" s="82"/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  <c r="AH286" s="82"/>
      <c r="AI286" s="82"/>
      <c r="AJ286" s="82"/>
      <c r="AK286" s="82"/>
      <c r="AL286" s="82"/>
      <c r="AM286" s="82"/>
      <c r="AN286" s="82"/>
      <c r="AO286" s="82"/>
      <c r="AP286" s="82"/>
      <c r="AQ286" s="82"/>
      <c r="AR286" s="82"/>
      <c r="AS286" s="82"/>
      <c r="AT286" s="82"/>
      <c r="AU286" s="82"/>
      <c r="AV286" s="82"/>
      <c r="AW286" s="82"/>
      <c r="AX286" s="82"/>
      <c r="AY286" s="82"/>
      <c r="AZ286" s="82"/>
      <c r="BA286" s="82"/>
      <c r="BB286" s="82"/>
      <c r="BC286" s="82"/>
      <c r="BD286" s="82"/>
      <c r="BE286" s="82"/>
      <c r="BF286" s="82"/>
      <c r="BG286" s="82"/>
      <c r="BH286" s="82"/>
      <c r="BI286" s="82"/>
      <c r="BJ286" s="82"/>
      <c r="BK286" s="82"/>
      <c r="BL286" s="82"/>
      <c r="BM286" s="82"/>
    </row>
    <row r="287" spans="1:65" x14ac:dyDescent="0.25">
      <c r="A287" s="82"/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  <c r="AH287" s="82"/>
      <c r="AI287" s="82"/>
      <c r="AJ287" s="82"/>
      <c r="AK287" s="82"/>
      <c r="AL287" s="82"/>
      <c r="AM287" s="82"/>
      <c r="AN287" s="82"/>
      <c r="AO287" s="82"/>
      <c r="AP287" s="82"/>
      <c r="AQ287" s="82"/>
      <c r="AR287" s="82"/>
      <c r="AS287" s="82"/>
      <c r="AT287" s="82"/>
      <c r="AU287" s="82"/>
      <c r="AV287" s="82"/>
      <c r="AW287" s="82"/>
      <c r="AX287" s="82"/>
      <c r="AY287" s="82"/>
      <c r="AZ287" s="82"/>
      <c r="BA287" s="82"/>
      <c r="BB287" s="82"/>
      <c r="BC287" s="82"/>
      <c r="BD287" s="82"/>
      <c r="BE287" s="82"/>
      <c r="BF287" s="82"/>
      <c r="BG287" s="82"/>
      <c r="BH287" s="82"/>
      <c r="BI287" s="82"/>
      <c r="BJ287" s="82"/>
      <c r="BK287" s="82"/>
      <c r="BL287" s="82"/>
      <c r="BM287" s="82"/>
    </row>
    <row r="288" spans="1:65" x14ac:dyDescent="0.25">
      <c r="A288" s="82"/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  <c r="AH288" s="82"/>
      <c r="AI288" s="82"/>
      <c r="AJ288" s="82"/>
      <c r="AK288" s="82"/>
      <c r="AL288" s="82"/>
      <c r="AM288" s="82"/>
      <c r="AN288" s="82"/>
      <c r="AO288" s="82"/>
      <c r="AP288" s="82"/>
      <c r="AQ288" s="82"/>
      <c r="AR288" s="82"/>
      <c r="AS288" s="82"/>
      <c r="AT288" s="82"/>
      <c r="AU288" s="82"/>
      <c r="AV288" s="82"/>
      <c r="AW288" s="82"/>
      <c r="AX288" s="82"/>
      <c r="AY288" s="82"/>
      <c r="AZ288" s="82"/>
      <c r="BA288" s="82"/>
      <c r="BB288" s="82"/>
      <c r="BC288" s="82"/>
      <c r="BD288" s="82"/>
      <c r="BE288" s="82"/>
      <c r="BF288" s="82"/>
      <c r="BG288" s="82"/>
      <c r="BH288" s="82"/>
      <c r="BI288" s="82"/>
      <c r="BJ288" s="82"/>
      <c r="BK288" s="82"/>
      <c r="BL288" s="82"/>
      <c r="BM288" s="82"/>
    </row>
    <row r="289" spans="1:65" x14ac:dyDescent="0.25">
      <c r="A289" s="82"/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  <c r="AH289" s="82"/>
      <c r="AI289" s="82"/>
      <c r="AJ289" s="82"/>
      <c r="AK289" s="82"/>
      <c r="AL289" s="82"/>
      <c r="AM289" s="82"/>
      <c r="AN289" s="82"/>
      <c r="AO289" s="82"/>
      <c r="AP289" s="82"/>
      <c r="AQ289" s="82"/>
      <c r="AR289" s="82"/>
      <c r="AS289" s="82"/>
      <c r="AT289" s="82"/>
      <c r="AU289" s="82"/>
      <c r="AV289" s="82"/>
      <c r="AW289" s="82"/>
      <c r="AX289" s="82"/>
      <c r="AY289" s="82"/>
      <c r="AZ289" s="82"/>
      <c r="BA289" s="82"/>
      <c r="BB289" s="82"/>
      <c r="BC289" s="82"/>
      <c r="BD289" s="82"/>
      <c r="BE289" s="82"/>
      <c r="BF289" s="82"/>
      <c r="BG289" s="82"/>
      <c r="BH289" s="82"/>
      <c r="BI289" s="82"/>
      <c r="BJ289" s="82"/>
      <c r="BK289" s="82"/>
      <c r="BL289" s="82"/>
      <c r="BM289" s="82"/>
    </row>
    <row r="290" spans="1:65" x14ac:dyDescent="0.25">
      <c r="A290" s="82"/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  <c r="AH290" s="82"/>
      <c r="AI290" s="82"/>
      <c r="AJ290" s="82"/>
      <c r="AK290" s="82"/>
      <c r="AL290" s="82"/>
      <c r="AM290" s="82"/>
      <c r="AN290" s="82"/>
      <c r="AO290" s="82"/>
      <c r="AP290" s="82"/>
      <c r="AQ290" s="82"/>
      <c r="AR290" s="82"/>
      <c r="AS290" s="82"/>
      <c r="AT290" s="82"/>
      <c r="AU290" s="82"/>
      <c r="AV290" s="82"/>
      <c r="AW290" s="82"/>
      <c r="AX290" s="82"/>
      <c r="AY290" s="82"/>
      <c r="AZ290" s="82"/>
      <c r="BA290" s="82"/>
      <c r="BB290" s="82"/>
      <c r="BC290" s="82"/>
      <c r="BD290" s="82"/>
      <c r="BE290" s="82"/>
      <c r="BF290" s="82"/>
      <c r="BG290" s="82"/>
      <c r="BH290" s="82"/>
      <c r="BI290" s="82"/>
      <c r="BJ290" s="82"/>
      <c r="BK290" s="82"/>
      <c r="BL290" s="82"/>
      <c r="BM290" s="82"/>
    </row>
    <row r="291" spans="1:65" x14ac:dyDescent="0.25">
      <c r="A291" s="82"/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  <c r="AH291" s="82"/>
      <c r="AI291" s="82"/>
      <c r="AJ291" s="82"/>
      <c r="AK291" s="82"/>
      <c r="AL291" s="82"/>
      <c r="AM291" s="82"/>
      <c r="AN291" s="82"/>
      <c r="AO291" s="82"/>
      <c r="AP291" s="82"/>
      <c r="AQ291" s="82"/>
      <c r="AR291" s="82"/>
      <c r="AS291" s="82"/>
      <c r="AT291" s="82"/>
      <c r="AU291" s="82"/>
      <c r="AV291" s="82"/>
      <c r="AW291" s="82"/>
      <c r="AX291" s="82"/>
      <c r="AY291" s="82"/>
      <c r="AZ291" s="82"/>
      <c r="BA291" s="82"/>
      <c r="BB291" s="82"/>
      <c r="BC291" s="82"/>
      <c r="BD291" s="82"/>
      <c r="BE291" s="82"/>
      <c r="BF291" s="82"/>
      <c r="BG291" s="82"/>
      <c r="BH291" s="82"/>
      <c r="BI291" s="82"/>
      <c r="BJ291" s="82"/>
      <c r="BK291" s="82"/>
      <c r="BL291" s="82"/>
      <c r="BM291" s="82"/>
    </row>
    <row r="292" spans="1:65" x14ac:dyDescent="0.25">
      <c r="A292" s="82"/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  <c r="AH292" s="82"/>
      <c r="AI292" s="82"/>
      <c r="AJ292" s="82"/>
      <c r="AK292" s="82"/>
      <c r="AL292" s="82"/>
      <c r="AM292" s="82"/>
      <c r="AN292" s="82"/>
      <c r="AO292" s="82"/>
      <c r="AP292" s="82"/>
      <c r="AQ292" s="82"/>
      <c r="AR292" s="82"/>
      <c r="AS292" s="82"/>
      <c r="AT292" s="82"/>
      <c r="AU292" s="82"/>
      <c r="AV292" s="82"/>
      <c r="AW292" s="82"/>
      <c r="AX292" s="82"/>
      <c r="AY292" s="82"/>
      <c r="AZ292" s="82"/>
      <c r="BA292" s="82"/>
      <c r="BB292" s="82"/>
      <c r="BC292" s="82"/>
      <c r="BD292" s="82"/>
      <c r="BE292" s="82"/>
      <c r="BF292" s="82"/>
      <c r="BG292" s="82"/>
      <c r="BH292" s="82"/>
      <c r="BI292" s="82"/>
      <c r="BJ292" s="82"/>
      <c r="BK292" s="82"/>
      <c r="BL292" s="82"/>
      <c r="BM292" s="82"/>
    </row>
    <row r="293" spans="1:65" x14ac:dyDescent="0.25">
      <c r="A293" s="82"/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  <c r="AH293" s="82"/>
      <c r="AI293" s="82"/>
      <c r="AJ293" s="82"/>
      <c r="AK293" s="82"/>
      <c r="AL293" s="82"/>
      <c r="AM293" s="82"/>
      <c r="AN293" s="82"/>
      <c r="AO293" s="82"/>
      <c r="AP293" s="82"/>
      <c r="AQ293" s="82"/>
      <c r="AR293" s="82"/>
      <c r="AS293" s="82"/>
      <c r="AT293" s="82"/>
      <c r="AU293" s="82"/>
      <c r="AV293" s="82"/>
      <c r="AW293" s="82"/>
      <c r="AX293" s="82"/>
      <c r="AY293" s="82"/>
      <c r="AZ293" s="82"/>
      <c r="BA293" s="82"/>
      <c r="BB293" s="82"/>
      <c r="BC293" s="82"/>
      <c r="BD293" s="82"/>
      <c r="BE293" s="82"/>
      <c r="BF293" s="82"/>
      <c r="BG293" s="82"/>
      <c r="BH293" s="82"/>
      <c r="BI293" s="82"/>
      <c r="BJ293" s="82"/>
      <c r="BK293" s="82"/>
      <c r="BL293" s="82"/>
      <c r="BM293" s="82"/>
    </row>
    <row r="294" spans="1:65" x14ac:dyDescent="0.25">
      <c r="A294" s="82"/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  <c r="AH294" s="82"/>
      <c r="AI294" s="82"/>
      <c r="AJ294" s="82"/>
      <c r="AK294" s="82"/>
      <c r="AL294" s="82"/>
      <c r="AM294" s="82"/>
      <c r="AN294" s="82"/>
      <c r="AO294" s="82"/>
      <c r="AP294" s="82"/>
      <c r="AQ294" s="82"/>
      <c r="AR294" s="82"/>
      <c r="AS294" s="82"/>
      <c r="AT294" s="82"/>
      <c r="AU294" s="82"/>
      <c r="AV294" s="82"/>
      <c r="AW294" s="82"/>
      <c r="AX294" s="82"/>
      <c r="AY294" s="82"/>
      <c r="AZ294" s="82"/>
      <c r="BA294" s="82"/>
      <c r="BB294" s="82"/>
      <c r="BC294" s="82"/>
      <c r="BD294" s="82"/>
      <c r="BE294" s="82"/>
      <c r="BF294" s="82"/>
      <c r="BG294" s="82"/>
      <c r="BH294" s="82"/>
      <c r="BI294" s="82"/>
      <c r="BJ294" s="82"/>
      <c r="BK294" s="82"/>
      <c r="BL294" s="82"/>
      <c r="BM294" s="82"/>
    </row>
    <row r="295" spans="1:65" x14ac:dyDescent="0.25">
      <c r="A295" s="82"/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  <c r="AH295" s="82"/>
      <c r="AI295" s="82"/>
      <c r="AJ295" s="82"/>
      <c r="AK295" s="82"/>
      <c r="AL295" s="82"/>
      <c r="AM295" s="82"/>
      <c r="AN295" s="82"/>
      <c r="AO295" s="82"/>
      <c r="AP295" s="82"/>
      <c r="AQ295" s="82"/>
      <c r="AR295" s="82"/>
      <c r="AS295" s="82"/>
      <c r="AT295" s="82"/>
      <c r="AU295" s="82"/>
      <c r="AV295" s="82"/>
      <c r="AW295" s="82"/>
      <c r="AX295" s="82"/>
      <c r="AY295" s="82"/>
      <c r="AZ295" s="82"/>
      <c r="BA295" s="82"/>
      <c r="BB295" s="82"/>
      <c r="BC295" s="82"/>
      <c r="BD295" s="82"/>
      <c r="BE295" s="82"/>
      <c r="BF295" s="82"/>
      <c r="BG295" s="82"/>
      <c r="BH295" s="82"/>
      <c r="BI295" s="82"/>
      <c r="BJ295" s="82"/>
      <c r="BK295" s="82"/>
      <c r="BL295" s="82"/>
      <c r="BM295" s="82"/>
    </row>
    <row r="296" spans="1:65" x14ac:dyDescent="0.25">
      <c r="A296" s="82"/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  <c r="AH296" s="82"/>
      <c r="AI296" s="82"/>
      <c r="AJ296" s="82"/>
      <c r="AK296" s="82"/>
      <c r="AL296" s="82"/>
      <c r="AM296" s="82"/>
      <c r="AN296" s="82"/>
      <c r="AO296" s="82"/>
      <c r="AP296" s="82"/>
      <c r="AQ296" s="82"/>
      <c r="AR296" s="82"/>
      <c r="AS296" s="82"/>
      <c r="AT296" s="82"/>
      <c r="AU296" s="82"/>
      <c r="AV296" s="82"/>
      <c r="AW296" s="82"/>
      <c r="AX296" s="82"/>
      <c r="AY296" s="82"/>
      <c r="AZ296" s="82"/>
      <c r="BA296" s="82"/>
      <c r="BB296" s="82"/>
      <c r="BC296" s="82"/>
      <c r="BD296" s="82"/>
      <c r="BE296" s="82"/>
      <c r="BF296" s="82"/>
      <c r="BG296" s="82"/>
      <c r="BH296" s="82"/>
      <c r="BI296" s="82"/>
      <c r="BJ296" s="82"/>
      <c r="BK296" s="82"/>
      <c r="BL296" s="82"/>
      <c r="BM296" s="82"/>
    </row>
    <row r="297" spans="1:65" x14ac:dyDescent="0.25">
      <c r="A297" s="82"/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  <c r="AH297" s="82"/>
      <c r="AI297" s="82"/>
      <c r="AJ297" s="82"/>
      <c r="AK297" s="82"/>
      <c r="AL297" s="82"/>
      <c r="AM297" s="82"/>
      <c r="AN297" s="82"/>
      <c r="AO297" s="82"/>
      <c r="AP297" s="82"/>
      <c r="AQ297" s="82"/>
      <c r="AR297" s="82"/>
      <c r="AS297" s="82"/>
      <c r="AT297" s="82"/>
      <c r="AU297" s="82"/>
      <c r="AV297" s="82"/>
      <c r="AW297" s="82"/>
      <c r="AX297" s="82"/>
      <c r="AY297" s="82"/>
      <c r="AZ297" s="82"/>
      <c r="BA297" s="82"/>
      <c r="BB297" s="82"/>
      <c r="BC297" s="82"/>
      <c r="BD297" s="82"/>
      <c r="BE297" s="82"/>
      <c r="BF297" s="82"/>
      <c r="BG297" s="82"/>
      <c r="BH297" s="82"/>
      <c r="BI297" s="82"/>
      <c r="BJ297" s="82"/>
      <c r="BK297" s="82"/>
      <c r="BL297" s="82"/>
      <c r="BM297" s="82"/>
    </row>
    <row r="298" spans="1:65" x14ac:dyDescent="0.25">
      <c r="A298" s="82"/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  <c r="AH298" s="82"/>
      <c r="AI298" s="82"/>
      <c r="AJ298" s="82"/>
      <c r="AK298" s="82"/>
      <c r="AL298" s="82"/>
      <c r="AM298" s="82"/>
      <c r="AN298" s="82"/>
      <c r="AO298" s="82"/>
      <c r="AP298" s="82"/>
      <c r="AQ298" s="82"/>
      <c r="AR298" s="82"/>
      <c r="AS298" s="82"/>
      <c r="AT298" s="82"/>
      <c r="AU298" s="82"/>
      <c r="AV298" s="82"/>
      <c r="AW298" s="82"/>
      <c r="AX298" s="82"/>
      <c r="AY298" s="82"/>
      <c r="AZ298" s="82"/>
      <c r="BA298" s="82"/>
      <c r="BB298" s="82"/>
      <c r="BC298" s="82"/>
      <c r="BD298" s="82"/>
      <c r="BE298" s="82"/>
      <c r="BF298" s="82"/>
      <c r="BG298" s="82"/>
      <c r="BH298" s="82"/>
      <c r="BI298" s="82"/>
      <c r="BJ298" s="82"/>
      <c r="BK298" s="82"/>
      <c r="BL298" s="82"/>
      <c r="BM298" s="82"/>
    </row>
    <row r="299" spans="1:65" x14ac:dyDescent="0.25">
      <c r="A299" s="82"/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  <c r="AH299" s="82"/>
      <c r="AI299" s="82"/>
      <c r="AJ299" s="82"/>
      <c r="AK299" s="82"/>
      <c r="AL299" s="82"/>
      <c r="AM299" s="82"/>
      <c r="AN299" s="82"/>
      <c r="AO299" s="82"/>
      <c r="AP299" s="82"/>
      <c r="AQ299" s="82"/>
      <c r="AR299" s="82"/>
      <c r="AS299" s="82"/>
      <c r="AT299" s="82"/>
      <c r="AU299" s="82"/>
      <c r="AV299" s="82"/>
      <c r="AW299" s="82"/>
      <c r="AX299" s="82"/>
      <c r="AY299" s="82"/>
      <c r="AZ299" s="82"/>
      <c r="BA299" s="82"/>
      <c r="BB299" s="82"/>
      <c r="BC299" s="82"/>
      <c r="BD299" s="82"/>
      <c r="BE299" s="82"/>
      <c r="BF299" s="82"/>
      <c r="BG299" s="82"/>
      <c r="BH299" s="82"/>
      <c r="BI299" s="82"/>
      <c r="BJ299" s="82"/>
      <c r="BK299" s="82"/>
      <c r="BL299" s="82"/>
      <c r="BM299" s="82"/>
    </row>
    <row r="300" spans="1:65" x14ac:dyDescent="0.25">
      <c r="A300" s="82"/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  <c r="AH300" s="82"/>
      <c r="AI300" s="82"/>
      <c r="AJ300" s="82"/>
      <c r="AK300" s="82"/>
      <c r="AL300" s="82"/>
      <c r="AM300" s="82"/>
      <c r="AN300" s="82"/>
      <c r="AO300" s="82"/>
      <c r="AP300" s="82"/>
      <c r="AQ300" s="82"/>
      <c r="AR300" s="82"/>
      <c r="AS300" s="82"/>
      <c r="AT300" s="82"/>
      <c r="AU300" s="82"/>
      <c r="AV300" s="82"/>
      <c r="AW300" s="82"/>
      <c r="AX300" s="82"/>
      <c r="AY300" s="82"/>
      <c r="AZ300" s="82"/>
      <c r="BA300" s="82"/>
      <c r="BB300" s="82"/>
      <c r="BC300" s="82"/>
      <c r="BD300" s="82"/>
      <c r="BE300" s="82"/>
      <c r="BF300" s="82"/>
      <c r="BG300" s="82"/>
      <c r="BH300" s="82"/>
      <c r="BI300" s="82"/>
      <c r="BJ300" s="82"/>
      <c r="BK300" s="82"/>
      <c r="BL300" s="82"/>
      <c r="BM300" s="82"/>
    </row>
    <row r="301" spans="1:65" x14ac:dyDescent="0.25">
      <c r="A301" s="82"/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  <c r="AH301" s="82"/>
      <c r="AI301" s="82"/>
      <c r="AJ301" s="82"/>
      <c r="AK301" s="82"/>
      <c r="AL301" s="82"/>
      <c r="AM301" s="82"/>
      <c r="AN301" s="82"/>
      <c r="AO301" s="82"/>
      <c r="AP301" s="82"/>
      <c r="AQ301" s="82"/>
      <c r="AR301" s="82"/>
      <c r="AS301" s="82"/>
      <c r="AT301" s="82"/>
      <c r="AU301" s="82"/>
      <c r="AV301" s="82"/>
      <c r="AW301" s="82"/>
      <c r="AX301" s="82"/>
      <c r="AY301" s="82"/>
      <c r="AZ301" s="82"/>
      <c r="BA301" s="82"/>
      <c r="BB301" s="82"/>
      <c r="BC301" s="82"/>
      <c r="BD301" s="82"/>
      <c r="BE301" s="82"/>
      <c r="BF301" s="82"/>
      <c r="BG301" s="82"/>
      <c r="BH301" s="82"/>
      <c r="BI301" s="82"/>
      <c r="BJ301" s="82"/>
      <c r="BK301" s="82"/>
      <c r="BL301" s="82"/>
      <c r="BM301" s="82"/>
    </row>
    <row r="302" spans="1:65" x14ac:dyDescent="0.25">
      <c r="A302" s="82"/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  <c r="AH302" s="82"/>
      <c r="AI302" s="82"/>
      <c r="AJ302" s="82"/>
      <c r="AK302" s="82"/>
      <c r="AL302" s="82"/>
      <c r="AM302" s="82"/>
      <c r="AN302" s="82"/>
      <c r="AO302" s="82"/>
      <c r="AP302" s="82"/>
      <c r="AQ302" s="82"/>
      <c r="AR302" s="82"/>
      <c r="AS302" s="82"/>
      <c r="AT302" s="82"/>
      <c r="AU302" s="82"/>
      <c r="AV302" s="82"/>
      <c r="AW302" s="82"/>
      <c r="AX302" s="82"/>
      <c r="AY302" s="82"/>
      <c r="AZ302" s="82"/>
      <c r="BA302" s="82"/>
      <c r="BB302" s="82"/>
      <c r="BC302" s="82"/>
      <c r="BD302" s="82"/>
      <c r="BE302" s="82"/>
      <c r="BF302" s="82"/>
      <c r="BG302" s="82"/>
      <c r="BH302" s="82"/>
      <c r="BI302" s="82"/>
      <c r="BJ302" s="82"/>
      <c r="BK302" s="82"/>
      <c r="BL302" s="82"/>
      <c r="BM302" s="82"/>
    </row>
    <row r="303" spans="1:65" x14ac:dyDescent="0.25">
      <c r="A303" s="82"/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  <c r="AH303" s="82"/>
      <c r="AI303" s="82"/>
      <c r="AJ303" s="82"/>
      <c r="AK303" s="82"/>
      <c r="AL303" s="82"/>
      <c r="AM303" s="82"/>
      <c r="AN303" s="82"/>
      <c r="AO303" s="82"/>
      <c r="AP303" s="82"/>
      <c r="AQ303" s="82"/>
      <c r="AR303" s="82"/>
      <c r="AS303" s="82"/>
      <c r="AT303" s="82"/>
      <c r="AU303" s="82"/>
      <c r="AV303" s="82"/>
      <c r="AW303" s="82"/>
      <c r="AX303" s="82"/>
      <c r="AY303" s="82"/>
      <c r="AZ303" s="82"/>
      <c r="BA303" s="82"/>
      <c r="BB303" s="82"/>
      <c r="BC303" s="82"/>
      <c r="BD303" s="82"/>
      <c r="BE303" s="82"/>
      <c r="BF303" s="82"/>
      <c r="BG303" s="82"/>
      <c r="BH303" s="82"/>
      <c r="BI303" s="82"/>
      <c r="BJ303" s="82"/>
      <c r="BK303" s="82"/>
      <c r="BL303" s="82"/>
      <c r="BM303" s="82"/>
    </row>
    <row r="304" spans="1:65" x14ac:dyDescent="0.25">
      <c r="A304" s="82"/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  <c r="AH304" s="82"/>
      <c r="AI304" s="82"/>
      <c r="AJ304" s="82"/>
      <c r="AK304" s="82"/>
      <c r="AL304" s="82"/>
      <c r="AM304" s="82"/>
      <c r="AN304" s="82"/>
      <c r="AO304" s="82"/>
      <c r="AP304" s="82"/>
      <c r="AQ304" s="82"/>
      <c r="AR304" s="82"/>
      <c r="AS304" s="82"/>
      <c r="AT304" s="82"/>
      <c r="AU304" s="82"/>
      <c r="AV304" s="82"/>
      <c r="AW304" s="82"/>
      <c r="AX304" s="82"/>
      <c r="AY304" s="82"/>
      <c r="AZ304" s="82"/>
      <c r="BA304" s="82"/>
      <c r="BB304" s="82"/>
      <c r="BC304" s="82"/>
      <c r="BD304" s="82"/>
      <c r="BE304" s="82"/>
      <c r="BF304" s="82"/>
      <c r="BG304" s="82"/>
      <c r="BH304" s="82"/>
      <c r="BI304" s="82"/>
      <c r="BJ304" s="82"/>
      <c r="BK304" s="82"/>
      <c r="BL304" s="82"/>
      <c r="BM304" s="82"/>
    </row>
    <row r="305" spans="1:65" x14ac:dyDescent="0.25">
      <c r="A305" s="82"/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  <c r="AH305" s="82"/>
      <c r="AI305" s="82"/>
      <c r="AJ305" s="82"/>
      <c r="AK305" s="82"/>
      <c r="AL305" s="82"/>
      <c r="AM305" s="82"/>
      <c r="AN305" s="82"/>
      <c r="AO305" s="82"/>
      <c r="AP305" s="82"/>
      <c r="AQ305" s="82"/>
      <c r="AR305" s="82"/>
      <c r="AS305" s="82"/>
      <c r="AT305" s="82"/>
      <c r="AU305" s="82"/>
      <c r="AV305" s="82"/>
      <c r="AW305" s="82"/>
      <c r="AX305" s="82"/>
      <c r="AY305" s="82"/>
      <c r="AZ305" s="82"/>
      <c r="BA305" s="82"/>
      <c r="BB305" s="82"/>
      <c r="BC305" s="82"/>
      <c r="BD305" s="82"/>
      <c r="BE305" s="82"/>
      <c r="BF305" s="82"/>
      <c r="BG305" s="82"/>
      <c r="BH305" s="82"/>
      <c r="BI305" s="82"/>
      <c r="BJ305" s="82"/>
      <c r="BK305" s="82"/>
      <c r="BL305" s="82"/>
      <c r="BM305" s="82"/>
    </row>
    <row r="306" spans="1:65" x14ac:dyDescent="0.25">
      <c r="A306" s="82"/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  <c r="AH306" s="82"/>
      <c r="AI306" s="82"/>
      <c r="AJ306" s="82"/>
      <c r="AK306" s="82"/>
      <c r="AL306" s="82"/>
      <c r="AM306" s="82"/>
      <c r="AN306" s="82"/>
      <c r="AO306" s="82"/>
      <c r="AP306" s="82"/>
      <c r="AQ306" s="82"/>
      <c r="AR306" s="82"/>
      <c r="AS306" s="82"/>
      <c r="AT306" s="82"/>
      <c r="AU306" s="82"/>
      <c r="AV306" s="82"/>
      <c r="AW306" s="82"/>
      <c r="AX306" s="82"/>
      <c r="AY306" s="82"/>
      <c r="AZ306" s="82"/>
      <c r="BA306" s="82"/>
      <c r="BB306" s="82"/>
      <c r="BC306" s="82"/>
      <c r="BD306" s="82"/>
      <c r="BE306" s="82"/>
      <c r="BF306" s="82"/>
      <c r="BG306" s="82"/>
      <c r="BH306" s="82"/>
      <c r="BI306" s="82"/>
      <c r="BJ306" s="82"/>
      <c r="BK306" s="82"/>
      <c r="BL306" s="82"/>
      <c r="BM306" s="82"/>
    </row>
    <row r="307" spans="1:65" x14ac:dyDescent="0.25">
      <c r="A307" s="82"/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  <c r="AH307" s="82"/>
      <c r="AI307" s="82"/>
      <c r="AJ307" s="82"/>
      <c r="AK307" s="82"/>
      <c r="AL307" s="82"/>
      <c r="AM307" s="82"/>
      <c r="AN307" s="82"/>
      <c r="AO307" s="82"/>
      <c r="AP307" s="82"/>
      <c r="AQ307" s="82"/>
      <c r="AR307" s="82"/>
      <c r="AS307" s="82"/>
      <c r="AT307" s="82"/>
      <c r="AU307" s="82"/>
      <c r="AV307" s="82"/>
      <c r="AW307" s="82"/>
      <c r="AX307" s="82"/>
      <c r="AY307" s="82"/>
      <c r="AZ307" s="82"/>
      <c r="BA307" s="82"/>
      <c r="BB307" s="82"/>
      <c r="BC307" s="82"/>
      <c r="BD307" s="82"/>
      <c r="BE307" s="82"/>
      <c r="BF307" s="82"/>
      <c r="BG307" s="82"/>
      <c r="BH307" s="82"/>
      <c r="BI307" s="82"/>
      <c r="BJ307" s="82"/>
      <c r="BK307" s="82"/>
      <c r="BL307" s="82"/>
      <c r="BM307" s="82"/>
    </row>
    <row r="308" spans="1:65" x14ac:dyDescent="0.25">
      <c r="A308" s="82"/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  <c r="AH308" s="82"/>
      <c r="AI308" s="82"/>
      <c r="AJ308" s="82"/>
      <c r="AK308" s="82"/>
      <c r="AL308" s="82"/>
      <c r="AM308" s="82"/>
      <c r="AN308" s="82"/>
      <c r="AO308" s="82"/>
      <c r="AP308" s="82"/>
      <c r="AQ308" s="82"/>
      <c r="AR308" s="82"/>
      <c r="AS308" s="82"/>
      <c r="AT308" s="82"/>
      <c r="AU308" s="82"/>
      <c r="AV308" s="82"/>
      <c r="AW308" s="82"/>
      <c r="AX308" s="82"/>
      <c r="AY308" s="82"/>
      <c r="AZ308" s="82"/>
      <c r="BA308" s="82"/>
      <c r="BB308" s="82"/>
      <c r="BC308" s="82"/>
      <c r="BD308" s="82"/>
      <c r="BE308" s="82"/>
      <c r="BF308" s="82"/>
      <c r="BG308" s="82"/>
      <c r="BH308" s="82"/>
      <c r="BI308" s="82"/>
      <c r="BJ308" s="82"/>
      <c r="BK308" s="82"/>
      <c r="BL308" s="82"/>
      <c r="BM308" s="82"/>
    </row>
    <row r="309" spans="1:65" x14ac:dyDescent="0.25">
      <c r="A309" s="82"/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  <c r="AH309" s="82"/>
      <c r="AI309" s="82"/>
      <c r="AJ309" s="82"/>
      <c r="AK309" s="82"/>
      <c r="AL309" s="82"/>
      <c r="AM309" s="82"/>
      <c r="AN309" s="82"/>
      <c r="AO309" s="82"/>
      <c r="AP309" s="82"/>
      <c r="AQ309" s="82"/>
      <c r="AR309" s="82"/>
      <c r="AS309" s="82"/>
      <c r="AT309" s="82"/>
      <c r="AU309" s="82"/>
      <c r="AV309" s="82"/>
      <c r="AW309" s="82"/>
      <c r="AX309" s="82"/>
      <c r="AY309" s="82"/>
      <c r="AZ309" s="82"/>
      <c r="BA309" s="82"/>
      <c r="BB309" s="82"/>
      <c r="BC309" s="82"/>
      <c r="BD309" s="82"/>
      <c r="BE309" s="82"/>
      <c r="BF309" s="82"/>
      <c r="BG309" s="82"/>
      <c r="BH309" s="82"/>
      <c r="BI309" s="82"/>
      <c r="BJ309" s="82"/>
      <c r="BK309" s="82"/>
      <c r="BL309" s="82"/>
      <c r="BM309" s="82"/>
    </row>
    <row r="310" spans="1:65" x14ac:dyDescent="0.25">
      <c r="A310" s="82"/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  <c r="AH310" s="82"/>
      <c r="AI310" s="82"/>
      <c r="AJ310" s="82"/>
      <c r="AK310" s="82"/>
      <c r="AL310" s="82"/>
      <c r="AM310" s="82"/>
      <c r="AN310" s="82"/>
      <c r="AO310" s="82"/>
      <c r="AP310" s="82"/>
      <c r="AQ310" s="82"/>
      <c r="AR310" s="82"/>
      <c r="AS310" s="82"/>
      <c r="AT310" s="82"/>
      <c r="AU310" s="82"/>
      <c r="AV310" s="82"/>
      <c r="AW310" s="82"/>
      <c r="AX310" s="82"/>
      <c r="AY310" s="82"/>
      <c r="AZ310" s="82"/>
      <c r="BA310" s="82"/>
      <c r="BB310" s="82"/>
      <c r="BC310" s="82"/>
      <c r="BD310" s="82"/>
      <c r="BE310" s="82"/>
      <c r="BF310" s="82"/>
      <c r="BG310" s="82"/>
      <c r="BH310" s="82"/>
      <c r="BI310" s="82"/>
      <c r="BJ310" s="82"/>
      <c r="BK310" s="82"/>
      <c r="BL310" s="82"/>
      <c r="BM310" s="82"/>
    </row>
    <row r="311" spans="1:65" x14ac:dyDescent="0.25">
      <c r="A311" s="82"/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  <c r="AH311" s="82"/>
      <c r="AI311" s="82"/>
      <c r="AJ311" s="82"/>
      <c r="AK311" s="82"/>
      <c r="AL311" s="82"/>
      <c r="AM311" s="82"/>
      <c r="AN311" s="82"/>
      <c r="AO311" s="82"/>
      <c r="AP311" s="82"/>
      <c r="AQ311" s="82"/>
      <c r="AR311" s="82"/>
      <c r="AS311" s="82"/>
      <c r="AT311" s="82"/>
      <c r="AU311" s="82"/>
      <c r="AV311" s="82"/>
      <c r="AW311" s="82"/>
      <c r="AX311" s="82"/>
      <c r="AY311" s="82"/>
      <c r="AZ311" s="82"/>
      <c r="BA311" s="82"/>
      <c r="BB311" s="82"/>
      <c r="BC311" s="82"/>
      <c r="BD311" s="82"/>
      <c r="BE311" s="82"/>
      <c r="BF311" s="82"/>
      <c r="BG311" s="82"/>
      <c r="BH311" s="82"/>
      <c r="BI311" s="82"/>
      <c r="BJ311" s="82"/>
      <c r="BK311" s="82"/>
      <c r="BL311" s="82"/>
      <c r="BM311" s="82"/>
    </row>
    <row r="312" spans="1:65" x14ac:dyDescent="0.25">
      <c r="A312" s="82"/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  <c r="AH312" s="82"/>
      <c r="AI312" s="82"/>
      <c r="AJ312" s="82"/>
      <c r="AK312" s="82"/>
      <c r="AL312" s="82"/>
      <c r="AM312" s="82"/>
      <c r="AN312" s="82"/>
      <c r="AO312" s="82"/>
      <c r="AP312" s="82"/>
      <c r="AQ312" s="82"/>
      <c r="AR312" s="82"/>
      <c r="AS312" s="82"/>
      <c r="AT312" s="82"/>
      <c r="AU312" s="82"/>
      <c r="AV312" s="82"/>
      <c r="AW312" s="82"/>
      <c r="AX312" s="82"/>
      <c r="AY312" s="82"/>
      <c r="AZ312" s="82"/>
      <c r="BA312" s="82"/>
      <c r="BB312" s="82"/>
      <c r="BC312" s="82"/>
      <c r="BD312" s="82"/>
      <c r="BE312" s="82"/>
      <c r="BF312" s="82"/>
      <c r="BG312" s="82"/>
      <c r="BH312" s="82"/>
      <c r="BI312" s="82"/>
      <c r="BJ312" s="82"/>
      <c r="BK312" s="82"/>
      <c r="BL312" s="82"/>
      <c r="BM312" s="82"/>
    </row>
    <row r="313" spans="1:65" x14ac:dyDescent="0.25">
      <c r="A313" s="82"/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  <c r="AH313" s="82"/>
      <c r="AI313" s="82"/>
      <c r="AJ313" s="82"/>
      <c r="AK313" s="82"/>
      <c r="AL313" s="82"/>
      <c r="AM313" s="82"/>
      <c r="AN313" s="82"/>
      <c r="AO313" s="82"/>
      <c r="AP313" s="82"/>
      <c r="AQ313" s="82"/>
      <c r="AR313" s="82"/>
      <c r="AS313" s="82"/>
      <c r="AT313" s="82"/>
      <c r="AU313" s="82"/>
      <c r="AV313" s="82"/>
      <c r="AW313" s="82"/>
      <c r="AX313" s="82"/>
      <c r="AY313" s="82"/>
      <c r="AZ313" s="82"/>
      <c r="BA313" s="82"/>
      <c r="BB313" s="82"/>
      <c r="BC313" s="82"/>
      <c r="BD313" s="82"/>
      <c r="BE313" s="82"/>
      <c r="BF313" s="82"/>
      <c r="BG313" s="82"/>
      <c r="BH313" s="82"/>
      <c r="BI313" s="82"/>
      <c r="BJ313" s="82"/>
      <c r="BK313" s="82"/>
      <c r="BL313" s="82"/>
      <c r="BM313" s="82"/>
    </row>
    <row r="314" spans="1:65" x14ac:dyDescent="0.25">
      <c r="A314" s="82"/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  <c r="AH314" s="82"/>
      <c r="AI314" s="82"/>
      <c r="AJ314" s="82"/>
      <c r="AK314" s="82"/>
      <c r="AL314" s="82"/>
      <c r="AM314" s="82"/>
      <c r="AN314" s="82"/>
      <c r="AO314" s="82"/>
      <c r="AP314" s="82"/>
      <c r="AQ314" s="82"/>
      <c r="AR314" s="82"/>
      <c r="AS314" s="82"/>
      <c r="AT314" s="82"/>
      <c r="AU314" s="82"/>
      <c r="AV314" s="82"/>
      <c r="AW314" s="82"/>
      <c r="AX314" s="82"/>
      <c r="AY314" s="82"/>
      <c r="AZ314" s="82"/>
      <c r="BA314" s="82"/>
      <c r="BB314" s="82"/>
      <c r="BC314" s="82"/>
      <c r="BD314" s="82"/>
      <c r="BE314" s="82"/>
      <c r="BF314" s="82"/>
      <c r="BG314" s="82"/>
      <c r="BH314" s="82"/>
      <c r="BI314" s="82"/>
      <c r="BJ314" s="82"/>
      <c r="BK314" s="82"/>
      <c r="BL314" s="82"/>
      <c r="BM314" s="82"/>
    </row>
    <row r="315" spans="1:65" x14ac:dyDescent="0.25">
      <c r="A315" s="82"/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  <c r="AH315" s="82"/>
      <c r="AI315" s="82"/>
      <c r="AJ315" s="82"/>
      <c r="AK315" s="82"/>
      <c r="AL315" s="82"/>
      <c r="AM315" s="82"/>
      <c r="AN315" s="82"/>
      <c r="AO315" s="82"/>
      <c r="AP315" s="82"/>
      <c r="AQ315" s="82"/>
      <c r="AR315" s="82"/>
      <c r="AS315" s="82"/>
      <c r="AT315" s="82"/>
      <c r="AU315" s="82"/>
      <c r="AV315" s="82"/>
      <c r="AW315" s="82"/>
      <c r="AX315" s="82"/>
      <c r="AY315" s="82"/>
      <c r="AZ315" s="82"/>
      <c r="BA315" s="82"/>
      <c r="BB315" s="82"/>
      <c r="BC315" s="82"/>
      <c r="BD315" s="82"/>
      <c r="BE315" s="82"/>
      <c r="BF315" s="82"/>
      <c r="BG315" s="82"/>
      <c r="BH315" s="82"/>
      <c r="BI315" s="82"/>
      <c r="BJ315" s="82"/>
      <c r="BK315" s="82"/>
      <c r="BL315" s="82"/>
      <c r="BM315" s="82"/>
    </row>
    <row r="316" spans="1:65" x14ac:dyDescent="0.25">
      <c r="A316" s="82"/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  <c r="AH316" s="82"/>
      <c r="AI316" s="82"/>
      <c r="AJ316" s="82"/>
      <c r="AK316" s="82"/>
      <c r="AL316" s="82"/>
      <c r="AM316" s="82"/>
      <c r="AN316" s="82"/>
      <c r="AO316" s="82"/>
      <c r="AP316" s="82"/>
      <c r="AQ316" s="82"/>
      <c r="AR316" s="82"/>
      <c r="AS316" s="82"/>
      <c r="AT316" s="82"/>
      <c r="AU316" s="82"/>
      <c r="AV316" s="82"/>
      <c r="AW316" s="82"/>
      <c r="AX316" s="82"/>
      <c r="AY316" s="82"/>
      <c r="AZ316" s="82"/>
      <c r="BA316" s="82"/>
      <c r="BB316" s="82"/>
      <c r="BC316" s="82"/>
      <c r="BD316" s="82"/>
      <c r="BE316" s="82"/>
      <c r="BF316" s="82"/>
      <c r="BG316" s="82"/>
      <c r="BH316" s="82"/>
      <c r="BI316" s="82"/>
      <c r="BJ316" s="82"/>
      <c r="BK316" s="82"/>
      <c r="BL316" s="82"/>
      <c r="BM316" s="82"/>
    </row>
    <row r="317" spans="1:65" x14ac:dyDescent="0.25">
      <c r="A317" s="82"/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  <c r="AH317" s="82"/>
      <c r="AI317" s="82"/>
      <c r="AJ317" s="82"/>
      <c r="AK317" s="82"/>
      <c r="AL317" s="82"/>
      <c r="AM317" s="82"/>
      <c r="AN317" s="82"/>
      <c r="AO317" s="82"/>
      <c r="AP317" s="82"/>
      <c r="AQ317" s="82"/>
      <c r="AR317" s="82"/>
      <c r="AS317" s="82"/>
      <c r="AT317" s="82"/>
      <c r="AU317" s="82"/>
      <c r="AV317" s="82"/>
      <c r="AW317" s="82"/>
      <c r="AX317" s="82"/>
      <c r="AY317" s="82"/>
      <c r="AZ317" s="82"/>
      <c r="BA317" s="82"/>
      <c r="BB317" s="82"/>
      <c r="BC317" s="82"/>
      <c r="BD317" s="82"/>
      <c r="BE317" s="82"/>
      <c r="BF317" s="82"/>
      <c r="BG317" s="82"/>
      <c r="BH317" s="82"/>
      <c r="BI317" s="82"/>
      <c r="BJ317" s="82"/>
      <c r="BK317" s="82"/>
      <c r="BL317" s="82"/>
      <c r="BM317" s="82"/>
    </row>
    <row r="318" spans="1:65" x14ac:dyDescent="0.25">
      <c r="A318" s="82"/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  <c r="AH318" s="82"/>
      <c r="AI318" s="82"/>
      <c r="AJ318" s="82"/>
      <c r="AK318" s="82"/>
      <c r="AL318" s="82"/>
      <c r="AM318" s="82"/>
      <c r="AN318" s="82"/>
      <c r="AO318" s="82"/>
      <c r="AP318" s="82"/>
      <c r="AQ318" s="82"/>
      <c r="AR318" s="82"/>
      <c r="AS318" s="82"/>
      <c r="AT318" s="82"/>
      <c r="AU318" s="82"/>
      <c r="AV318" s="82"/>
      <c r="AW318" s="82"/>
      <c r="AX318" s="82"/>
      <c r="AY318" s="82"/>
      <c r="AZ318" s="82"/>
      <c r="BA318" s="82"/>
      <c r="BB318" s="82"/>
      <c r="BC318" s="82"/>
      <c r="BD318" s="82"/>
      <c r="BE318" s="82"/>
      <c r="BF318" s="82"/>
      <c r="BG318" s="82"/>
      <c r="BH318" s="82"/>
      <c r="BI318" s="82"/>
      <c r="BJ318" s="82"/>
      <c r="BK318" s="82"/>
      <c r="BL318" s="82"/>
      <c r="BM318" s="82"/>
    </row>
    <row r="319" spans="1:65" x14ac:dyDescent="0.25">
      <c r="A319" s="82"/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  <c r="AH319" s="82"/>
      <c r="AI319" s="82"/>
      <c r="AJ319" s="82"/>
      <c r="AK319" s="82"/>
      <c r="AL319" s="82"/>
      <c r="AM319" s="82"/>
      <c r="AN319" s="82"/>
      <c r="AO319" s="82"/>
      <c r="AP319" s="82"/>
      <c r="AQ319" s="82"/>
      <c r="AR319" s="82"/>
      <c r="AS319" s="82"/>
      <c r="AT319" s="82"/>
      <c r="AU319" s="82"/>
      <c r="AV319" s="82"/>
      <c r="AW319" s="82"/>
      <c r="AX319" s="82"/>
      <c r="AY319" s="82"/>
      <c r="AZ319" s="82"/>
      <c r="BA319" s="82"/>
      <c r="BB319" s="82"/>
      <c r="BC319" s="82"/>
      <c r="BD319" s="82"/>
      <c r="BE319" s="82"/>
      <c r="BF319" s="82"/>
      <c r="BG319" s="82"/>
      <c r="BH319" s="82"/>
      <c r="BI319" s="82"/>
      <c r="BJ319" s="82"/>
      <c r="BK319" s="82"/>
      <c r="BL319" s="82"/>
      <c r="BM319" s="82"/>
    </row>
    <row r="320" spans="1:65" x14ac:dyDescent="0.25">
      <c r="A320" s="82"/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  <c r="AH320" s="82"/>
      <c r="AI320" s="82"/>
      <c r="AJ320" s="82"/>
      <c r="AK320" s="82"/>
      <c r="AL320" s="82"/>
      <c r="AM320" s="82"/>
      <c r="AN320" s="82"/>
      <c r="AO320" s="82"/>
      <c r="AP320" s="82"/>
      <c r="AQ320" s="82"/>
      <c r="AR320" s="82"/>
      <c r="AS320" s="82"/>
      <c r="AT320" s="82"/>
      <c r="AU320" s="82"/>
      <c r="AV320" s="82"/>
      <c r="AW320" s="82"/>
      <c r="AX320" s="82"/>
      <c r="AY320" s="82"/>
      <c r="AZ320" s="82"/>
      <c r="BA320" s="82"/>
      <c r="BB320" s="82"/>
      <c r="BC320" s="82"/>
      <c r="BD320" s="82"/>
      <c r="BE320" s="82"/>
      <c r="BF320" s="82"/>
      <c r="BG320" s="82"/>
      <c r="BH320" s="82"/>
      <c r="BI320" s="82"/>
      <c r="BJ320" s="82"/>
      <c r="BK320" s="82"/>
      <c r="BL320" s="82"/>
      <c r="BM320" s="82"/>
    </row>
    <row r="321" spans="1:65" x14ac:dyDescent="0.25">
      <c r="A321" s="82"/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  <c r="AH321" s="82"/>
      <c r="AI321" s="82"/>
      <c r="AJ321" s="82"/>
      <c r="AK321" s="82"/>
      <c r="AL321" s="82"/>
      <c r="AM321" s="82"/>
      <c r="AN321" s="82"/>
      <c r="AO321" s="82"/>
      <c r="AP321" s="82"/>
      <c r="AQ321" s="82"/>
      <c r="AR321" s="82"/>
      <c r="AS321" s="82"/>
      <c r="AT321" s="82"/>
      <c r="AU321" s="82"/>
      <c r="AV321" s="82"/>
      <c r="AW321" s="82"/>
      <c r="AX321" s="82"/>
      <c r="AY321" s="82"/>
      <c r="AZ321" s="82"/>
      <c r="BA321" s="82"/>
      <c r="BB321" s="82"/>
      <c r="BC321" s="82"/>
      <c r="BD321" s="82"/>
      <c r="BE321" s="82"/>
      <c r="BF321" s="82"/>
      <c r="BG321" s="82"/>
      <c r="BH321" s="82"/>
      <c r="BI321" s="82"/>
      <c r="BJ321" s="82"/>
      <c r="BK321" s="82"/>
      <c r="BL321" s="82"/>
      <c r="BM321" s="82"/>
    </row>
    <row r="322" spans="1:65" x14ac:dyDescent="0.25">
      <c r="A322" s="82"/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  <c r="AH322" s="82"/>
      <c r="AI322" s="82"/>
      <c r="AJ322" s="82"/>
      <c r="AK322" s="82"/>
      <c r="AL322" s="82"/>
      <c r="AM322" s="82"/>
      <c r="AN322" s="82"/>
      <c r="AO322" s="82"/>
      <c r="AP322" s="82"/>
      <c r="AQ322" s="82"/>
      <c r="AR322" s="82"/>
      <c r="AS322" s="82"/>
      <c r="AT322" s="82"/>
      <c r="AU322" s="82"/>
      <c r="AV322" s="82"/>
      <c r="AW322" s="82"/>
      <c r="AX322" s="82"/>
      <c r="AY322" s="82"/>
      <c r="AZ322" s="82"/>
      <c r="BA322" s="82"/>
      <c r="BB322" s="82"/>
      <c r="BC322" s="82"/>
      <c r="BD322" s="82"/>
      <c r="BE322" s="82"/>
      <c r="BF322" s="82"/>
      <c r="BG322" s="82"/>
      <c r="BH322" s="82"/>
      <c r="BI322" s="82"/>
      <c r="BJ322" s="82"/>
      <c r="BK322" s="82"/>
      <c r="BL322" s="82"/>
      <c r="BM322" s="82"/>
    </row>
    <row r="323" spans="1:65" x14ac:dyDescent="0.25">
      <c r="A323" s="82"/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  <c r="AH323" s="82"/>
      <c r="AI323" s="82"/>
      <c r="AJ323" s="82"/>
      <c r="AK323" s="82"/>
      <c r="AL323" s="82"/>
      <c r="AM323" s="82"/>
      <c r="AN323" s="82"/>
      <c r="AO323" s="82"/>
      <c r="AP323" s="82"/>
      <c r="AQ323" s="82"/>
      <c r="AR323" s="82"/>
      <c r="AS323" s="82"/>
      <c r="AT323" s="82"/>
      <c r="AU323" s="82"/>
      <c r="AV323" s="82"/>
      <c r="AW323" s="82"/>
      <c r="AX323" s="82"/>
      <c r="AY323" s="82"/>
      <c r="AZ323" s="82"/>
      <c r="BA323" s="82"/>
      <c r="BB323" s="82"/>
      <c r="BC323" s="82"/>
      <c r="BD323" s="82"/>
      <c r="BE323" s="82"/>
      <c r="BF323" s="82"/>
      <c r="BG323" s="82"/>
      <c r="BH323" s="82"/>
      <c r="BI323" s="82"/>
      <c r="BJ323" s="82"/>
      <c r="BK323" s="82"/>
      <c r="BL323" s="82"/>
      <c r="BM323" s="82"/>
    </row>
    <row r="324" spans="1:65" x14ac:dyDescent="0.25">
      <c r="A324" s="82"/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  <c r="AH324" s="82"/>
      <c r="AI324" s="82"/>
      <c r="AJ324" s="82"/>
      <c r="AK324" s="82"/>
      <c r="AL324" s="82"/>
      <c r="AM324" s="82"/>
      <c r="AN324" s="82"/>
      <c r="AO324" s="82"/>
      <c r="AP324" s="82"/>
      <c r="AQ324" s="82"/>
      <c r="AR324" s="82"/>
      <c r="AS324" s="82"/>
      <c r="AT324" s="82"/>
      <c r="AU324" s="82"/>
      <c r="AV324" s="82"/>
      <c r="AW324" s="82"/>
      <c r="AX324" s="82"/>
      <c r="AY324" s="82"/>
      <c r="AZ324" s="82"/>
      <c r="BA324" s="82"/>
      <c r="BB324" s="82"/>
      <c r="BC324" s="82"/>
      <c r="BD324" s="82"/>
      <c r="BE324" s="82"/>
      <c r="BF324" s="82"/>
      <c r="BG324" s="82"/>
      <c r="BH324" s="82"/>
      <c r="BI324" s="82"/>
      <c r="BJ324" s="82"/>
      <c r="BK324" s="82"/>
      <c r="BL324" s="82"/>
      <c r="BM324" s="82"/>
    </row>
    <row r="325" spans="1:65" x14ac:dyDescent="0.25">
      <c r="A325" s="82"/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  <c r="AH325" s="82"/>
      <c r="AI325" s="82"/>
      <c r="AJ325" s="82"/>
      <c r="AK325" s="82"/>
      <c r="AL325" s="82"/>
      <c r="AM325" s="82"/>
      <c r="AN325" s="82"/>
      <c r="AO325" s="82"/>
      <c r="AP325" s="82"/>
      <c r="AQ325" s="82"/>
      <c r="AR325" s="82"/>
      <c r="AS325" s="82"/>
      <c r="AT325" s="82"/>
      <c r="AU325" s="82"/>
      <c r="AV325" s="82"/>
      <c r="AW325" s="82"/>
      <c r="AX325" s="82"/>
      <c r="AY325" s="82"/>
      <c r="AZ325" s="82"/>
      <c r="BA325" s="82"/>
      <c r="BB325" s="82"/>
      <c r="BC325" s="82"/>
      <c r="BD325" s="82"/>
      <c r="BE325" s="82"/>
      <c r="BF325" s="82"/>
      <c r="BG325" s="82"/>
      <c r="BH325" s="82"/>
      <c r="BI325" s="82"/>
      <c r="BJ325" s="82"/>
      <c r="BK325" s="82"/>
      <c r="BL325" s="82"/>
      <c r="BM325" s="82"/>
    </row>
    <row r="326" spans="1:65" x14ac:dyDescent="0.25">
      <c r="A326" s="82"/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82"/>
      <c r="BB326" s="82"/>
      <c r="BC326" s="82"/>
      <c r="BD326" s="82"/>
      <c r="BE326" s="82"/>
      <c r="BF326" s="82"/>
      <c r="BG326" s="82"/>
      <c r="BH326" s="82"/>
      <c r="BI326" s="82"/>
      <c r="BJ326" s="82"/>
      <c r="BK326" s="82"/>
      <c r="BL326" s="82"/>
      <c r="BM326" s="82"/>
    </row>
    <row r="327" spans="1:65" x14ac:dyDescent="0.25">
      <c r="A327" s="82"/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82"/>
      <c r="BB327" s="82"/>
      <c r="BC327" s="82"/>
      <c r="BD327" s="82"/>
      <c r="BE327" s="82"/>
      <c r="BF327" s="82"/>
      <c r="BG327" s="82"/>
      <c r="BH327" s="82"/>
      <c r="BI327" s="82"/>
      <c r="BJ327" s="82"/>
      <c r="BK327" s="82"/>
      <c r="BL327" s="82"/>
      <c r="BM327" s="82"/>
    </row>
    <row r="328" spans="1:65" x14ac:dyDescent="0.25">
      <c r="A328" s="82"/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82"/>
      <c r="BB328" s="82"/>
      <c r="BC328" s="82"/>
      <c r="BD328" s="82"/>
      <c r="BE328" s="82"/>
      <c r="BF328" s="82"/>
      <c r="BG328" s="82"/>
      <c r="BH328" s="82"/>
      <c r="BI328" s="82"/>
      <c r="BJ328" s="82"/>
      <c r="BK328" s="82"/>
      <c r="BL328" s="82"/>
      <c r="BM328" s="82"/>
    </row>
    <row r="329" spans="1:65" x14ac:dyDescent="0.25">
      <c r="A329" s="82"/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82"/>
      <c r="BB329" s="82"/>
      <c r="BC329" s="82"/>
      <c r="BD329" s="82"/>
      <c r="BE329" s="82"/>
      <c r="BF329" s="82"/>
      <c r="BG329" s="82"/>
      <c r="BH329" s="82"/>
      <c r="BI329" s="82"/>
      <c r="BJ329" s="82"/>
      <c r="BK329" s="82"/>
      <c r="BL329" s="82"/>
      <c r="BM329" s="82"/>
    </row>
    <row r="330" spans="1:65" x14ac:dyDescent="0.25">
      <c r="A330" s="82"/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82"/>
      <c r="BB330" s="82"/>
      <c r="BC330" s="82"/>
      <c r="BD330" s="82"/>
      <c r="BE330" s="82"/>
      <c r="BF330" s="82"/>
      <c r="BG330" s="82"/>
      <c r="BH330" s="82"/>
      <c r="BI330" s="82"/>
      <c r="BJ330" s="82"/>
      <c r="BK330" s="82"/>
      <c r="BL330" s="82"/>
      <c r="BM330" s="82"/>
    </row>
    <row r="331" spans="1:65" x14ac:dyDescent="0.25">
      <c r="A331" s="82"/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82"/>
      <c r="BB331" s="82"/>
      <c r="BC331" s="82"/>
      <c r="BD331" s="82"/>
      <c r="BE331" s="82"/>
      <c r="BF331" s="82"/>
      <c r="BG331" s="82"/>
      <c r="BH331" s="82"/>
      <c r="BI331" s="82"/>
      <c r="BJ331" s="82"/>
      <c r="BK331" s="82"/>
      <c r="BL331" s="82"/>
      <c r="BM331" s="82"/>
    </row>
    <row r="332" spans="1:65" x14ac:dyDescent="0.25">
      <c r="A332" s="82"/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82"/>
      <c r="BB332" s="82"/>
      <c r="BC332" s="82"/>
      <c r="BD332" s="82"/>
      <c r="BE332" s="82"/>
      <c r="BF332" s="82"/>
      <c r="BG332" s="82"/>
      <c r="BH332" s="82"/>
      <c r="BI332" s="82"/>
      <c r="BJ332" s="82"/>
      <c r="BK332" s="82"/>
      <c r="BL332" s="82"/>
      <c r="BM332" s="82"/>
    </row>
    <row r="333" spans="1:65" x14ac:dyDescent="0.25">
      <c r="A333" s="82"/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  <c r="AH333" s="82"/>
      <c r="AI333" s="82"/>
      <c r="AJ333" s="82"/>
      <c r="AK333" s="82"/>
      <c r="AL333" s="82"/>
      <c r="AM333" s="82"/>
      <c r="AN333" s="82"/>
      <c r="AO333" s="82"/>
      <c r="AP333" s="82"/>
      <c r="AQ333" s="82"/>
      <c r="AR333" s="82"/>
      <c r="AS333" s="82"/>
      <c r="AT333" s="82"/>
      <c r="AU333" s="82"/>
      <c r="AV333" s="82"/>
      <c r="AW333" s="82"/>
      <c r="AX333" s="82"/>
      <c r="AY333" s="82"/>
      <c r="AZ333" s="82"/>
      <c r="BA333" s="82"/>
      <c r="BB333" s="82"/>
      <c r="BC333" s="82"/>
      <c r="BD333" s="82"/>
      <c r="BE333" s="82"/>
      <c r="BF333" s="82"/>
      <c r="BG333" s="82"/>
      <c r="BH333" s="82"/>
      <c r="BI333" s="82"/>
      <c r="BJ333" s="82"/>
      <c r="BK333" s="82"/>
      <c r="BL333" s="82"/>
      <c r="BM333" s="82"/>
    </row>
    <row r="334" spans="1:65" x14ac:dyDescent="0.25">
      <c r="A334" s="82"/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/>
      <c r="AG334" s="82"/>
      <c r="AH334" s="82"/>
      <c r="AI334" s="82"/>
      <c r="AJ334" s="82"/>
      <c r="AK334" s="82"/>
      <c r="AL334" s="82"/>
      <c r="AM334" s="82"/>
      <c r="AN334" s="82"/>
      <c r="AO334" s="82"/>
      <c r="AP334" s="82"/>
      <c r="AQ334" s="82"/>
      <c r="AR334" s="82"/>
      <c r="AS334" s="82"/>
      <c r="AT334" s="82"/>
      <c r="AU334" s="82"/>
      <c r="AV334" s="82"/>
      <c r="AW334" s="82"/>
      <c r="AX334" s="82"/>
      <c r="AY334" s="82"/>
      <c r="AZ334" s="82"/>
      <c r="BA334" s="82"/>
      <c r="BB334" s="82"/>
      <c r="BC334" s="82"/>
      <c r="BD334" s="82"/>
      <c r="BE334" s="82"/>
      <c r="BF334" s="82"/>
      <c r="BG334" s="82"/>
      <c r="BH334" s="82"/>
      <c r="BI334" s="82"/>
      <c r="BJ334" s="82"/>
      <c r="BK334" s="82"/>
      <c r="BL334" s="82"/>
      <c r="BM334" s="82"/>
    </row>
    <row r="335" spans="1:65" x14ac:dyDescent="0.25">
      <c r="A335" s="82"/>
      <c r="B335" s="82"/>
      <c r="C335" s="82"/>
      <c r="D335" s="82"/>
      <c r="E335" s="82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  <c r="AF335" s="82"/>
      <c r="AG335" s="82"/>
      <c r="AH335" s="82"/>
      <c r="AI335" s="82"/>
      <c r="AJ335" s="82"/>
      <c r="AK335" s="82"/>
      <c r="AL335" s="82"/>
      <c r="AM335" s="82"/>
      <c r="AN335" s="82"/>
      <c r="AO335" s="82"/>
      <c r="AP335" s="82"/>
      <c r="AQ335" s="82"/>
      <c r="AR335" s="82"/>
      <c r="AS335" s="82"/>
      <c r="AT335" s="82"/>
      <c r="AU335" s="82"/>
      <c r="AV335" s="82"/>
      <c r="AW335" s="82"/>
      <c r="AX335" s="82"/>
      <c r="AY335" s="82"/>
      <c r="AZ335" s="82"/>
      <c r="BA335" s="82"/>
      <c r="BB335" s="82"/>
      <c r="BC335" s="82"/>
      <c r="BD335" s="82"/>
      <c r="BE335" s="82"/>
      <c r="BF335" s="82"/>
      <c r="BG335" s="82"/>
      <c r="BH335" s="82"/>
      <c r="BI335" s="82"/>
      <c r="BJ335" s="82"/>
      <c r="BK335" s="82"/>
      <c r="BL335" s="82"/>
      <c r="BM335" s="82"/>
    </row>
    <row r="336" spans="1:65" x14ac:dyDescent="0.25">
      <c r="A336" s="82"/>
      <c r="B336" s="82"/>
      <c r="C336" s="82"/>
      <c r="D336" s="82"/>
      <c r="E336" s="82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  <c r="AF336" s="82"/>
      <c r="AG336" s="82"/>
      <c r="AH336" s="82"/>
      <c r="AI336" s="82"/>
      <c r="AJ336" s="82"/>
      <c r="AK336" s="82"/>
      <c r="AL336" s="82"/>
      <c r="AM336" s="82"/>
      <c r="AN336" s="82"/>
      <c r="AO336" s="82"/>
      <c r="AP336" s="82"/>
      <c r="AQ336" s="82"/>
      <c r="AR336" s="82"/>
      <c r="AS336" s="82"/>
      <c r="AT336" s="82"/>
      <c r="AU336" s="82"/>
      <c r="AV336" s="82"/>
      <c r="AW336" s="82"/>
      <c r="AX336" s="82"/>
      <c r="AY336" s="82"/>
      <c r="AZ336" s="82"/>
      <c r="BA336" s="82"/>
      <c r="BB336" s="82"/>
      <c r="BC336" s="82"/>
      <c r="BD336" s="82"/>
      <c r="BE336" s="82"/>
      <c r="BF336" s="82"/>
      <c r="BG336" s="82"/>
      <c r="BH336" s="82"/>
      <c r="BI336" s="82"/>
      <c r="BJ336" s="82"/>
      <c r="BK336" s="82"/>
      <c r="BL336" s="82"/>
      <c r="BM336" s="82"/>
    </row>
    <row r="337" spans="1:65" x14ac:dyDescent="0.25">
      <c r="A337" s="82"/>
      <c r="B337" s="82"/>
      <c r="C337" s="82"/>
      <c r="D337" s="82"/>
      <c r="E337" s="82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  <c r="AF337" s="82"/>
      <c r="AG337" s="82"/>
      <c r="AH337" s="82"/>
      <c r="AI337" s="82"/>
      <c r="AJ337" s="82"/>
      <c r="AK337" s="82"/>
      <c r="AL337" s="82"/>
      <c r="AM337" s="82"/>
      <c r="AN337" s="82"/>
      <c r="AO337" s="82"/>
      <c r="AP337" s="82"/>
      <c r="AQ337" s="82"/>
      <c r="AR337" s="82"/>
      <c r="AS337" s="82"/>
      <c r="AT337" s="82"/>
      <c r="AU337" s="82"/>
      <c r="AV337" s="82"/>
      <c r="AW337" s="82"/>
      <c r="AX337" s="82"/>
      <c r="AY337" s="82"/>
      <c r="AZ337" s="82"/>
      <c r="BA337" s="82"/>
      <c r="BB337" s="82"/>
      <c r="BC337" s="82"/>
      <c r="BD337" s="82"/>
      <c r="BE337" s="82"/>
      <c r="BF337" s="82"/>
      <c r="BG337" s="82"/>
      <c r="BH337" s="82"/>
      <c r="BI337" s="82"/>
      <c r="BJ337" s="82"/>
      <c r="BK337" s="82"/>
      <c r="BL337" s="82"/>
      <c r="BM337" s="82"/>
    </row>
    <row r="338" spans="1:65" x14ac:dyDescent="0.25">
      <c r="A338" s="82"/>
      <c r="B338" s="82"/>
      <c r="C338" s="82"/>
      <c r="D338" s="82"/>
      <c r="E338" s="82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  <c r="AF338" s="82"/>
      <c r="AG338" s="82"/>
      <c r="AH338" s="82"/>
      <c r="AI338" s="82"/>
      <c r="AJ338" s="82"/>
      <c r="AK338" s="82"/>
      <c r="AL338" s="82"/>
      <c r="AM338" s="82"/>
      <c r="AN338" s="82"/>
      <c r="AO338" s="82"/>
      <c r="AP338" s="82"/>
      <c r="AQ338" s="82"/>
      <c r="AR338" s="82"/>
      <c r="AS338" s="82"/>
      <c r="AT338" s="82"/>
      <c r="AU338" s="82"/>
      <c r="AV338" s="82"/>
      <c r="AW338" s="82"/>
      <c r="AX338" s="82"/>
      <c r="AY338" s="82"/>
      <c r="AZ338" s="82"/>
      <c r="BA338" s="82"/>
      <c r="BB338" s="82"/>
      <c r="BC338" s="82"/>
      <c r="BD338" s="82"/>
      <c r="BE338" s="82"/>
      <c r="BF338" s="82"/>
      <c r="BG338" s="82"/>
      <c r="BH338" s="82"/>
      <c r="BI338" s="82"/>
      <c r="BJ338" s="82"/>
      <c r="BK338" s="82"/>
      <c r="BL338" s="82"/>
      <c r="BM338" s="82"/>
    </row>
    <row r="339" spans="1:65" x14ac:dyDescent="0.25">
      <c r="A339" s="82"/>
      <c r="B339" s="82"/>
      <c r="C339" s="82"/>
      <c r="D339" s="82"/>
      <c r="E339" s="82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  <c r="AF339" s="82"/>
      <c r="AG339" s="82"/>
      <c r="AH339" s="82"/>
      <c r="AI339" s="82"/>
      <c r="AJ339" s="82"/>
      <c r="AK339" s="82"/>
      <c r="AL339" s="82"/>
      <c r="AM339" s="82"/>
      <c r="AN339" s="82"/>
      <c r="AO339" s="82"/>
      <c r="AP339" s="82"/>
      <c r="AQ339" s="82"/>
      <c r="AR339" s="82"/>
      <c r="AS339" s="82"/>
      <c r="AT339" s="82"/>
      <c r="AU339" s="82"/>
      <c r="AV339" s="82"/>
      <c r="AW339" s="82"/>
      <c r="AX339" s="82"/>
      <c r="AY339" s="82"/>
      <c r="AZ339" s="82"/>
      <c r="BA339" s="82"/>
      <c r="BB339" s="82"/>
      <c r="BC339" s="82"/>
      <c r="BD339" s="82"/>
      <c r="BE339" s="82"/>
      <c r="BF339" s="82"/>
      <c r="BG339" s="82"/>
      <c r="BH339" s="82"/>
      <c r="BI339" s="82"/>
      <c r="BJ339" s="82"/>
      <c r="BK339" s="82"/>
      <c r="BL339" s="82"/>
      <c r="BM339" s="82"/>
    </row>
    <row r="340" spans="1:65" x14ac:dyDescent="0.25">
      <c r="A340" s="82"/>
      <c r="B340" s="82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  <c r="AF340" s="82"/>
      <c r="AG340" s="82"/>
      <c r="AH340" s="82"/>
      <c r="AI340" s="82"/>
      <c r="AJ340" s="82"/>
      <c r="AK340" s="82"/>
      <c r="AL340" s="82"/>
      <c r="AM340" s="82"/>
      <c r="AN340" s="82"/>
      <c r="AO340" s="82"/>
      <c r="AP340" s="82"/>
      <c r="AQ340" s="82"/>
      <c r="AR340" s="82"/>
      <c r="AS340" s="82"/>
      <c r="AT340" s="82"/>
      <c r="AU340" s="82"/>
      <c r="AV340" s="82"/>
      <c r="AW340" s="82"/>
      <c r="AX340" s="82"/>
      <c r="AY340" s="82"/>
      <c r="AZ340" s="82"/>
      <c r="BA340" s="82"/>
      <c r="BB340" s="82"/>
      <c r="BC340" s="82"/>
      <c r="BD340" s="82"/>
      <c r="BE340" s="82"/>
      <c r="BF340" s="82"/>
      <c r="BG340" s="82"/>
      <c r="BH340" s="82"/>
      <c r="BI340" s="82"/>
      <c r="BJ340" s="82"/>
      <c r="BK340" s="82"/>
      <c r="BL340" s="82"/>
      <c r="BM340" s="82"/>
    </row>
    <row r="341" spans="1:65" x14ac:dyDescent="0.25">
      <c r="A341" s="82"/>
      <c r="B341" s="82"/>
      <c r="C341" s="82"/>
      <c r="D341" s="82"/>
      <c r="E341" s="82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  <c r="AF341" s="82"/>
      <c r="AG341" s="82"/>
      <c r="AH341" s="82"/>
      <c r="AI341" s="82"/>
      <c r="AJ341" s="82"/>
      <c r="AK341" s="82"/>
      <c r="AL341" s="82"/>
      <c r="AM341" s="82"/>
      <c r="AN341" s="82"/>
      <c r="AO341" s="82"/>
      <c r="AP341" s="82"/>
      <c r="AQ341" s="82"/>
      <c r="AR341" s="82"/>
      <c r="AS341" s="82"/>
      <c r="AT341" s="82"/>
      <c r="AU341" s="82"/>
      <c r="AV341" s="82"/>
      <c r="AW341" s="82"/>
      <c r="AX341" s="82"/>
      <c r="AY341" s="82"/>
      <c r="AZ341" s="82"/>
      <c r="BA341" s="82"/>
      <c r="BB341" s="82"/>
      <c r="BC341" s="82"/>
      <c r="BD341" s="82"/>
      <c r="BE341" s="82"/>
      <c r="BF341" s="82"/>
      <c r="BG341" s="82"/>
      <c r="BH341" s="82"/>
      <c r="BI341" s="82"/>
      <c r="BJ341" s="82"/>
      <c r="BK341" s="82"/>
      <c r="BL341" s="82"/>
      <c r="BM341" s="82"/>
    </row>
    <row r="342" spans="1:65" x14ac:dyDescent="0.25">
      <c r="A342" s="82"/>
      <c r="B342" s="82"/>
      <c r="C342" s="82"/>
      <c r="D342" s="82"/>
      <c r="E342" s="82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  <c r="AF342" s="82"/>
      <c r="AG342" s="82"/>
      <c r="AH342" s="82"/>
      <c r="AI342" s="82"/>
      <c r="AJ342" s="82"/>
      <c r="AK342" s="82"/>
      <c r="AL342" s="82"/>
      <c r="AM342" s="82"/>
      <c r="AN342" s="82"/>
      <c r="AO342" s="82"/>
      <c r="AP342" s="82"/>
      <c r="AQ342" s="82"/>
      <c r="AR342" s="82"/>
      <c r="AS342" s="82"/>
      <c r="AT342" s="82"/>
      <c r="AU342" s="82"/>
      <c r="AV342" s="82"/>
      <c r="AW342" s="82"/>
      <c r="AX342" s="82"/>
      <c r="AY342" s="82"/>
      <c r="AZ342" s="82"/>
      <c r="BA342" s="82"/>
      <c r="BB342" s="82"/>
      <c r="BC342" s="82"/>
      <c r="BD342" s="82"/>
      <c r="BE342" s="82"/>
      <c r="BF342" s="82"/>
      <c r="BG342" s="82"/>
      <c r="BH342" s="82"/>
      <c r="BI342" s="82"/>
      <c r="BJ342" s="82"/>
      <c r="BK342" s="82"/>
      <c r="BL342" s="82"/>
      <c r="BM342" s="82"/>
    </row>
    <row r="343" spans="1:65" x14ac:dyDescent="0.25">
      <c r="A343" s="82"/>
      <c r="B343" s="82"/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  <c r="AF343" s="82"/>
      <c r="AG343" s="82"/>
      <c r="AH343" s="82"/>
      <c r="AI343" s="82"/>
      <c r="AJ343" s="82"/>
      <c r="AK343" s="82"/>
      <c r="AL343" s="82"/>
      <c r="AM343" s="82"/>
      <c r="AN343" s="82"/>
      <c r="AO343" s="82"/>
      <c r="AP343" s="82"/>
      <c r="AQ343" s="82"/>
      <c r="AR343" s="82"/>
      <c r="AS343" s="82"/>
      <c r="AT343" s="82"/>
      <c r="AU343" s="82"/>
      <c r="AV343" s="82"/>
      <c r="AW343" s="82"/>
      <c r="AX343" s="82"/>
      <c r="AY343" s="82"/>
      <c r="AZ343" s="82"/>
      <c r="BA343" s="82"/>
      <c r="BB343" s="82"/>
      <c r="BC343" s="82"/>
      <c r="BD343" s="82"/>
      <c r="BE343" s="82"/>
      <c r="BF343" s="82"/>
      <c r="BG343" s="82"/>
      <c r="BH343" s="82"/>
      <c r="BI343" s="82"/>
      <c r="BJ343" s="82"/>
      <c r="BK343" s="82"/>
      <c r="BL343" s="82"/>
      <c r="BM343" s="82"/>
    </row>
    <row r="344" spans="1:65" x14ac:dyDescent="0.25">
      <c r="A344" s="82"/>
      <c r="B344" s="82"/>
      <c r="C344" s="82"/>
      <c r="D344" s="82"/>
      <c r="E344" s="82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  <c r="AF344" s="82"/>
      <c r="AG344" s="82"/>
      <c r="AH344" s="82"/>
      <c r="AI344" s="82"/>
      <c r="AJ344" s="82"/>
      <c r="AK344" s="82"/>
      <c r="AL344" s="82"/>
      <c r="AM344" s="82"/>
      <c r="AN344" s="82"/>
      <c r="AO344" s="82"/>
      <c r="AP344" s="82"/>
      <c r="AQ344" s="82"/>
      <c r="AR344" s="82"/>
      <c r="AS344" s="82"/>
      <c r="AT344" s="82"/>
      <c r="AU344" s="82"/>
      <c r="AV344" s="82"/>
      <c r="AW344" s="82"/>
      <c r="AX344" s="82"/>
      <c r="AY344" s="82"/>
      <c r="AZ344" s="82"/>
      <c r="BA344" s="82"/>
      <c r="BB344" s="82"/>
      <c r="BC344" s="82"/>
      <c r="BD344" s="82"/>
      <c r="BE344" s="82"/>
      <c r="BF344" s="82"/>
      <c r="BG344" s="82"/>
      <c r="BH344" s="82"/>
      <c r="BI344" s="82"/>
      <c r="BJ344" s="82"/>
      <c r="BK344" s="82"/>
      <c r="BL344" s="82"/>
      <c r="BM344" s="82"/>
    </row>
    <row r="345" spans="1:65" x14ac:dyDescent="0.25">
      <c r="A345" s="82"/>
      <c r="B345" s="82"/>
      <c r="C345" s="82"/>
      <c r="D345" s="82"/>
      <c r="E345" s="82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  <c r="AF345" s="82"/>
      <c r="AG345" s="82"/>
      <c r="AH345" s="82"/>
      <c r="AI345" s="82"/>
      <c r="AJ345" s="82"/>
      <c r="AK345" s="82"/>
      <c r="AL345" s="82"/>
      <c r="AM345" s="82"/>
      <c r="AN345" s="82"/>
      <c r="AO345" s="82"/>
      <c r="AP345" s="82"/>
      <c r="AQ345" s="82"/>
      <c r="AR345" s="82"/>
      <c r="AS345" s="82"/>
      <c r="AT345" s="82"/>
      <c r="AU345" s="82"/>
      <c r="AV345" s="82"/>
      <c r="AW345" s="82"/>
      <c r="AX345" s="82"/>
      <c r="AY345" s="82"/>
      <c r="AZ345" s="82"/>
      <c r="BA345" s="82"/>
      <c r="BB345" s="82"/>
      <c r="BC345" s="82"/>
      <c r="BD345" s="82"/>
      <c r="BE345" s="82"/>
      <c r="BF345" s="82"/>
      <c r="BG345" s="82"/>
      <c r="BH345" s="82"/>
      <c r="BI345" s="82"/>
      <c r="BJ345" s="82"/>
      <c r="BK345" s="82"/>
      <c r="BL345" s="82"/>
      <c r="BM345" s="82"/>
    </row>
    <row r="346" spans="1:65" x14ac:dyDescent="0.25">
      <c r="A346" s="82"/>
      <c r="B346" s="82"/>
      <c r="C346" s="82"/>
      <c r="D346" s="82"/>
      <c r="E346" s="82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  <c r="AF346" s="82"/>
      <c r="AG346" s="82"/>
      <c r="AH346" s="82"/>
      <c r="AI346" s="82"/>
      <c r="AJ346" s="82"/>
      <c r="AK346" s="82"/>
      <c r="AL346" s="82"/>
      <c r="AM346" s="82"/>
      <c r="AN346" s="82"/>
      <c r="AO346" s="82"/>
      <c r="AP346" s="82"/>
      <c r="AQ346" s="82"/>
      <c r="AR346" s="82"/>
      <c r="AS346" s="82"/>
      <c r="AT346" s="82"/>
      <c r="AU346" s="82"/>
      <c r="AV346" s="82"/>
      <c r="AW346" s="82"/>
      <c r="AX346" s="82"/>
      <c r="AY346" s="82"/>
      <c r="AZ346" s="82"/>
      <c r="BA346" s="82"/>
      <c r="BB346" s="82"/>
      <c r="BC346" s="82"/>
      <c r="BD346" s="82"/>
      <c r="BE346" s="82"/>
      <c r="BF346" s="82"/>
      <c r="BG346" s="82"/>
      <c r="BH346" s="82"/>
      <c r="BI346" s="82"/>
      <c r="BJ346" s="82"/>
      <c r="BK346" s="82"/>
      <c r="BL346" s="82"/>
      <c r="BM346" s="82"/>
    </row>
    <row r="347" spans="1:65" x14ac:dyDescent="0.25">
      <c r="A347" s="82"/>
      <c r="B347" s="82"/>
      <c r="C347" s="82"/>
      <c r="D347" s="82"/>
      <c r="E347" s="82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  <c r="AF347" s="82"/>
      <c r="AG347" s="82"/>
      <c r="AH347" s="82"/>
      <c r="AI347" s="82"/>
      <c r="AJ347" s="82"/>
      <c r="AK347" s="82"/>
      <c r="AL347" s="82"/>
      <c r="AM347" s="82"/>
      <c r="AN347" s="82"/>
      <c r="AO347" s="82"/>
      <c r="AP347" s="82"/>
      <c r="AQ347" s="82"/>
      <c r="AR347" s="82"/>
      <c r="AS347" s="82"/>
      <c r="AT347" s="82"/>
      <c r="AU347" s="82"/>
      <c r="AV347" s="82"/>
      <c r="AW347" s="82"/>
      <c r="AX347" s="82"/>
      <c r="AY347" s="82"/>
      <c r="AZ347" s="82"/>
      <c r="BA347" s="82"/>
      <c r="BB347" s="82"/>
      <c r="BC347" s="82"/>
      <c r="BD347" s="82"/>
      <c r="BE347" s="82"/>
      <c r="BF347" s="82"/>
      <c r="BG347" s="82"/>
      <c r="BH347" s="82"/>
      <c r="BI347" s="82"/>
      <c r="BJ347" s="82"/>
      <c r="BK347" s="82"/>
      <c r="BL347" s="82"/>
      <c r="BM347" s="82"/>
    </row>
    <row r="348" spans="1:65" x14ac:dyDescent="0.25">
      <c r="A348" s="82"/>
      <c r="B348" s="82"/>
      <c r="C348" s="82"/>
      <c r="D348" s="82"/>
      <c r="E348" s="82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  <c r="AF348" s="82"/>
      <c r="AG348" s="82"/>
      <c r="AH348" s="82"/>
      <c r="AI348" s="82"/>
      <c r="AJ348" s="82"/>
      <c r="AK348" s="82"/>
      <c r="AL348" s="82"/>
      <c r="AM348" s="82"/>
      <c r="AN348" s="82"/>
      <c r="AO348" s="82"/>
      <c r="AP348" s="82"/>
      <c r="AQ348" s="82"/>
      <c r="AR348" s="82"/>
      <c r="AS348" s="82"/>
      <c r="AT348" s="82"/>
      <c r="AU348" s="82"/>
      <c r="AV348" s="82"/>
      <c r="AW348" s="82"/>
      <c r="AX348" s="82"/>
      <c r="AY348" s="82"/>
      <c r="AZ348" s="82"/>
      <c r="BA348" s="82"/>
      <c r="BB348" s="82"/>
      <c r="BC348" s="82"/>
      <c r="BD348" s="82"/>
      <c r="BE348" s="82"/>
      <c r="BF348" s="82"/>
      <c r="BG348" s="82"/>
      <c r="BH348" s="82"/>
      <c r="BI348" s="82"/>
      <c r="BJ348" s="82"/>
      <c r="BK348" s="82"/>
      <c r="BL348" s="82"/>
      <c r="BM348" s="82"/>
    </row>
    <row r="349" spans="1:65" x14ac:dyDescent="0.25">
      <c r="A349" s="82"/>
      <c r="B349" s="82"/>
      <c r="C349" s="82"/>
      <c r="D349" s="82"/>
      <c r="E349" s="82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  <c r="AF349" s="82"/>
      <c r="AG349" s="82"/>
      <c r="AH349" s="82"/>
      <c r="AI349" s="82"/>
      <c r="AJ349" s="82"/>
      <c r="AK349" s="82"/>
      <c r="AL349" s="82"/>
      <c r="AM349" s="82"/>
      <c r="AN349" s="82"/>
      <c r="AO349" s="82"/>
      <c r="AP349" s="82"/>
      <c r="AQ349" s="82"/>
      <c r="AR349" s="82"/>
      <c r="AS349" s="82"/>
      <c r="AT349" s="82"/>
      <c r="AU349" s="82"/>
      <c r="AV349" s="82"/>
      <c r="AW349" s="82"/>
      <c r="AX349" s="82"/>
      <c r="AY349" s="82"/>
      <c r="AZ349" s="82"/>
      <c r="BA349" s="82"/>
      <c r="BB349" s="82"/>
      <c r="BC349" s="82"/>
      <c r="BD349" s="82"/>
      <c r="BE349" s="82"/>
      <c r="BF349" s="82"/>
      <c r="BG349" s="82"/>
      <c r="BH349" s="82"/>
      <c r="BI349" s="82"/>
      <c r="BJ349" s="82"/>
      <c r="BK349" s="82"/>
      <c r="BL349" s="82"/>
      <c r="BM349" s="82"/>
    </row>
    <row r="350" spans="1:65" x14ac:dyDescent="0.25">
      <c r="A350" s="82"/>
      <c r="B350" s="82"/>
      <c r="C350" s="82"/>
      <c r="D350" s="82"/>
      <c r="E350" s="82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  <c r="AF350" s="82"/>
      <c r="AG350" s="82"/>
      <c r="AH350" s="82"/>
      <c r="AI350" s="82"/>
      <c r="AJ350" s="82"/>
      <c r="AK350" s="82"/>
      <c r="AL350" s="82"/>
      <c r="AM350" s="82"/>
      <c r="AN350" s="82"/>
      <c r="AO350" s="82"/>
      <c r="AP350" s="82"/>
      <c r="AQ350" s="82"/>
      <c r="AR350" s="82"/>
      <c r="AS350" s="82"/>
      <c r="AT350" s="82"/>
      <c r="AU350" s="82"/>
      <c r="AV350" s="82"/>
      <c r="AW350" s="82"/>
      <c r="AX350" s="82"/>
      <c r="AY350" s="82"/>
      <c r="AZ350" s="82"/>
      <c r="BA350" s="82"/>
      <c r="BB350" s="82"/>
      <c r="BC350" s="82"/>
      <c r="BD350" s="82"/>
      <c r="BE350" s="82"/>
      <c r="BF350" s="82"/>
      <c r="BG350" s="82"/>
      <c r="BH350" s="82"/>
      <c r="BI350" s="82"/>
      <c r="BJ350" s="82"/>
      <c r="BK350" s="82"/>
      <c r="BL350" s="82"/>
      <c r="BM350" s="82"/>
    </row>
    <row r="351" spans="1:65" x14ac:dyDescent="0.25">
      <c r="A351" s="82"/>
      <c r="B351" s="82"/>
      <c r="C351" s="82"/>
      <c r="D351" s="82"/>
      <c r="E351" s="82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  <c r="AF351" s="82"/>
      <c r="AG351" s="82"/>
      <c r="AH351" s="82"/>
      <c r="AI351" s="82"/>
      <c r="AJ351" s="82"/>
      <c r="AK351" s="82"/>
      <c r="AL351" s="82"/>
      <c r="AM351" s="82"/>
      <c r="AN351" s="82"/>
      <c r="AO351" s="82"/>
      <c r="AP351" s="82"/>
      <c r="AQ351" s="82"/>
      <c r="AR351" s="82"/>
      <c r="AS351" s="82"/>
      <c r="AT351" s="82"/>
      <c r="AU351" s="82"/>
      <c r="AV351" s="82"/>
      <c r="AW351" s="82"/>
      <c r="AX351" s="82"/>
      <c r="AY351" s="82"/>
      <c r="AZ351" s="82"/>
      <c r="BA351" s="82"/>
      <c r="BB351" s="82"/>
      <c r="BC351" s="82"/>
      <c r="BD351" s="82"/>
      <c r="BE351" s="82"/>
      <c r="BF351" s="82"/>
      <c r="BG351" s="82"/>
      <c r="BH351" s="82"/>
      <c r="BI351" s="82"/>
      <c r="BJ351" s="82"/>
      <c r="BK351" s="82"/>
      <c r="BL351" s="82"/>
      <c r="BM351" s="82"/>
    </row>
    <row r="352" spans="1:65" x14ac:dyDescent="0.25">
      <c r="A352" s="82"/>
      <c r="B352" s="82"/>
      <c r="C352" s="82"/>
      <c r="D352" s="82"/>
      <c r="E352" s="82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  <c r="AF352" s="82"/>
      <c r="AG352" s="82"/>
      <c r="AH352" s="82"/>
      <c r="AI352" s="82"/>
      <c r="AJ352" s="82"/>
      <c r="AK352" s="82"/>
      <c r="AL352" s="82"/>
      <c r="AM352" s="82"/>
      <c r="AN352" s="82"/>
      <c r="AO352" s="82"/>
      <c r="AP352" s="82"/>
      <c r="AQ352" s="82"/>
      <c r="AR352" s="82"/>
      <c r="AS352" s="82"/>
      <c r="AT352" s="82"/>
      <c r="AU352" s="82"/>
      <c r="AV352" s="82"/>
      <c r="AW352" s="82"/>
      <c r="AX352" s="82"/>
      <c r="AY352" s="82"/>
      <c r="AZ352" s="82"/>
      <c r="BA352" s="82"/>
      <c r="BB352" s="82"/>
      <c r="BC352" s="82"/>
      <c r="BD352" s="82"/>
      <c r="BE352" s="82"/>
      <c r="BF352" s="82"/>
      <c r="BG352" s="82"/>
      <c r="BH352" s="82"/>
      <c r="BI352" s="82"/>
      <c r="BJ352" s="82"/>
      <c r="BK352" s="82"/>
      <c r="BL352" s="82"/>
      <c r="BM352" s="82"/>
    </row>
    <row r="353" spans="1:65" x14ac:dyDescent="0.25">
      <c r="A353" s="82"/>
      <c r="B353" s="82"/>
      <c r="C353" s="82"/>
      <c r="D353" s="82"/>
      <c r="E353" s="82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  <c r="AF353" s="82"/>
      <c r="AG353" s="82"/>
      <c r="AH353" s="82"/>
      <c r="AI353" s="82"/>
      <c r="AJ353" s="82"/>
      <c r="AK353" s="82"/>
      <c r="AL353" s="82"/>
      <c r="AM353" s="82"/>
      <c r="AN353" s="82"/>
      <c r="AO353" s="82"/>
      <c r="AP353" s="82"/>
      <c r="AQ353" s="82"/>
      <c r="AR353" s="82"/>
      <c r="AS353" s="82"/>
      <c r="AT353" s="82"/>
      <c r="AU353" s="82"/>
      <c r="AV353" s="82"/>
      <c r="AW353" s="82"/>
      <c r="AX353" s="82"/>
      <c r="AY353" s="82"/>
      <c r="AZ353" s="82"/>
      <c r="BA353" s="82"/>
      <c r="BB353" s="82"/>
      <c r="BC353" s="82"/>
      <c r="BD353" s="82"/>
      <c r="BE353" s="82"/>
      <c r="BF353" s="82"/>
      <c r="BG353" s="82"/>
      <c r="BH353" s="82"/>
      <c r="BI353" s="82"/>
      <c r="BJ353" s="82"/>
      <c r="BK353" s="82"/>
      <c r="BL353" s="82"/>
      <c r="BM353" s="82"/>
    </row>
    <row r="354" spans="1:65" x14ac:dyDescent="0.25">
      <c r="A354" s="82"/>
      <c r="B354" s="82"/>
      <c r="C354" s="82"/>
      <c r="D354" s="82"/>
      <c r="E354" s="82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  <c r="AF354" s="82"/>
      <c r="AG354" s="82"/>
      <c r="AH354" s="82"/>
      <c r="AI354" s="82"/>
      <c r="AJ354" s="82"/>
      <c r="AK354" s="82"/>
      <c r="AL354" s="82"/>
      <c r="AM354" s="82"/>
      <c r="AN354" s="82"/>
      <c r="AO354" s="82"/>
      <c r="AP354" s="82"/>
      <c r="AQ354" s="82"/>
      <c r="AR354" s="82"/>
      <c r="AS354" s="82"/>
      <c r="AT354" s="82"/>
      <c r="AU354" s="82"/>
      <c r="AV354" s="82"/>
      <c r="AW354" s="82"/>
      <c r="AX354" s="82"/>
      <c r="AY354" s="82"/>
      <c r="AZ354" s="82"/>
      <c r="BA354" s="82"/>
      <c r="BB354" s="82"/>
      <c r="BC354" s="82"/>
      <c r="BD354" s="82"/>
      <c r="BE354" s="82"/>
      <c r="BF354" s="82"/>
      <c r="BG354" s="82"/>
      <c r="BH354" s="82"/>
      <c r="BI354" s="82"/>
      <c r="BJ354" s="82"/>
      <c r="BK354" s="82"/>
      <c r="BL354" s="82"/>
      <c r="BM354" s="82"/>
    </row>
    <row r="355" spans="1:65" x14ac:dyDescent="0.25">
      <c r="A355" s="82"/>
      <c r="B355" s="82"/>
      <c r="C355" s="82"/>
      <c r="D355" s="82"/>
      <c r="E355" s="82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  <c r="AF355" s="82"/>
      <c r="AG355" s="82"/>
      <c r="AH355" s="82"/>
      <c r="AI355" s="82"/>
      <c r="AJ355" s="82"/>
      <c r="AK355" s="82"/>
      <c r="AL355" s="82"/>
      <c r="AM355" s="82"/>
      <c r="AN355" s="82"/>
      <c r="AO355" s="82"/>
      <c r="AP355" s="82"/>
      <c r="AQ355" s="82"/>
      <c r="AR355" s="82"/>
      <c r="AS355" s="82"/>
      <c r="AT355" s="82"/>
      <c r="AU355" s="82"/>
      <c r="AV355" s="82"/>
      <c r="AW355" s="82"/>
      <c r="AX355" s="82"/>
      <c r="AY355" s="82"/>
      <c r="AZ355" s="82"/>
      <c r="BA355" s="82"/>
      <c r="BB355" s="82"/>
      <c r="BC355" s="82"/>
      <c r="BD355" s="82"/>
      <c r="BE355" s="82"/>
      <c r="BF355" s="82"/>
      <c r="BG355" s="82"/>
      <c r="BH355" s="82"/>
      <c r="BI355" s="82"/>
      <c r="BJ355" s="82"/>
      <c r="BK355" s="82"/>
      <c r="BL355" s="82"/>
      <c r="BM355" s="82"/>
    </row>
    <row r="356" spans="1:65" x14ac:dyDescent="0.25">
      <c r="A356" s="82"/>
      <c r="B356" s="82"/>
      <c r="C356" s="82"/>
      <c r="D356" s="82"/>
      <c r="E356" s="82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  <c r="AF356" s="82"/>
      <c r="AG356" s="82"/>
      <c r="AH356" s="82"/>
      <c r="AI356" s="82"/>
      <c r="AJ356" s="82"/>
      <c r="AK356" s="82"/>
      <c r="AL356" s="82"/>
      <c r="AM356" s="82"/>
      <c r="AN356" s="82"/>
      <c r="AO356" s="82"/>
      <c r="AP356" s="82"/>
      <c r="AQ356" s="82"/>
      <c r="AR356" s="82"/>
      <c r="AS356" s="82"/>
      <c r="AT356" s="82"/>
      <c r="AU356" s="82"/>
      <c r="AV356" s="82"/>
      <c r="AW356" s="82"/>
      <c r="AX356" s="82"/>
      <c r="AY356" s="82"/>
      <c r="AZ356" s="82"/>
      <c r="BA356" s="82"/>
      <c r="BB356" s="82"/>
      <c r="BC356" s="82"/>
      <c r="BD356" s="82"/>
      <c r="BE356" s="82"/>
      <c r="BF356" s="82"/>
      <c r="BG356" s="82"/>
      <c r="BH356" s="82"/>
      <c r="BI356" s="82"/>
      <c r="BJ356" s="82"/>
      <c r="BK356" s="82"/>
      <c r="BL356" s="82"/>
      <c r="BM356" s="82"/>
    </row>
    <row r="357" spans="1:65" x14ac:dyDescent="0.25">
      <c r="A357" s="82"/>
      <c r="B357" s="82"/>
      <c r="C357" s="82"/>
      <c r="D357" s="82"/>
      <c r="E357" s="82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  <c r="AF357" s="82"/>
      <c r="AG357" s="82"/>
      <c r="AH357" s="82"/>
      <c r="AI357" s="82"/>
      <c r="AJ357" s="82"/>
      <c r="AK357" s="82"/>
      <c r="AL357" s="82"/>
      <c r="AM357" s="82"/>
      <c r="AN357" s="82"/>
      <c r="AO357" s="82"/>
      <c r="AP357" s="82"/>
      <c r="AQ357" s="82"/>
      <c r="AR357" s="82"/>
      <c r="AS357" s="82"/>
      <c r="AT357" s="82"/>
      <c r="AU357" s="82"/>
      <c r="AV357" s="82"/>
      <c r="AW357" s="82"/>
      <c r="AX357" s="82"/>
      <c r="AY357" s="82"/>
      <c r="AZ357" s="82"/>
      <c r="BA357" s="82"/>
      <c r="BB357" s="82"/>
      <c r="BC357" s="82"/>
      <c r="BD357" s="82"/>
      <c r="BE357" s="82"/>
      <c r="BF357" s="82"/>
      <c r="BG357" s="82"/>
      <c r="BH357" s="82"/>
      <c r="BI357" s="82"/>
      <c r="BJ357" s="82"/>
      <c r="BK357" s="82"/>
      <c r="BL357" s="82"/>
      <c r="BM357" s="82"/>
    </row>
    <row r="358" spans="1:65" x14ac:dyDescent="0.25">
      <c r="A358" s="82"/>
      <c r="B358" s="82"/>
      <c r="C358" s="82"/>
      <c r="D358" s="82"/>
      <c r="E358" s="82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  <c r="AF358" s="82"/>
      <c r="AG358" s="82"/>
      <c r="AH358" s="82"/>
      <c r="AI358" s="82"/>
      <c r="AJ358" s="82"/>
      <c r="AK358" s="82"/>
      <c r="AL358" s="82"/>
      <c r="AM358" s="82"/>
      <c r="AN358" s="82"/>
      <c r="AO358" s="82"/>
      <c r="AP358" s="82"/>
      <c r="AQ358" s="82"/>
      <c r="AR358" s="82"/>
      <c r="AS358" s="82"/>
      <c r="AT358" s="82"/>
      <c r="AU358" s="82"/>
      <c r="AV358" s="82"/>
      <c r="AW358" s="82"/>
      <c r="AX358" s="82"/>
      <c r="AY358" s="82"/>
      <c r="AZ358" s="82"/>
      <c r="BA358" s="82"/>
      <c r="BB358" s="82"/>
      <c r="BC358" s="82"/>
      <c r="BD358" s="82"/>
      <c r="BE358" s="82"/>
      <c r="BF358" s="82"/>
      <c r="BG358" s="82"/>
      <c r="BH358" s="82"/>
      <c r="BI358" s="82"/>
      <c r="BJ358" s="82"/>
      <c r="BK358" s="82"/>
      <c r="BL358" s="82"/>
      <c r="BM358" s="82"/>
    </row>
    <row r="359" spans="1:65" x14ac:dyDescent="0.25">
      <c r="A359" s="82"/>
      <c r="B359" s="82"/>
      <c r="C359" s="82"/>
      <c r="D359" s="82"/>
      <c r="E359" s="82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  <c r="AF359" s="82"/>
      <c r="AG359" s="82"/>
      <c r="AH359" s="82"/>
      <c r="AI359" s="82"/>
      <c r="AJ359" s="82"/>
      <c r="AK359" s="82"/>
      <c r="AL359" s="82"/>
      <c r="AM359" s="82"/>
      <c r="AN359" s="82"/>
      <c r="AO359" s="82"/>
      <c r="AP359" s="82"/>
      <c r="AQ359" s="82"/>
      <c r="AR359" s="82"/>
      <c r="AS359" s="82"/>
      <c r="AT359" s="82"/>
      <c r="AU359" s="82"/>
      <c r="AV359" s="82"/>
      <c r="AW359" s="82"/>
      <c r="AX359" s="82"/>
      <c r="AY359" s="82"/>
      <c r="AZ359" s="82"/>
      <c r="BA359" s="82"/>
      <c r="BB359" s="82"/>
      <c r="BC359" s="82"/>
      <c r="BD359" s="82"/>
      <c r="BE359" s="82"/>
      <c r="BF359" s="82"/>
      <c r="BG359" s="82"/>
      <c r="BH359" s="82"/>
      <c r="BI359" s="82"/>
      <c r="BJ359" s="82"/>
      <c r="BK359" s="82"/>
      <c r="BL359" s="82"/>
      <c r="BM359" s="82"/>
    </row>
    <row r="360" spans="1:65" x14ac:dyDescent="0.25">
      <c r="A360" s="82"/>
      <c r="B360" s="82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  <c r="AX360" s="82"/>
      <c r="AY360" s="82"/>
      <c r="AZ360" s="82"/>
      <c r="BA360" s="82"/>
      <c r="BB360" s="82"/>
      <c r="BC360" s="82"/>
      <c r="BD360" s="82"/>
      <c r="BE360" s="82"/>
      <c r="BF360" s="82"/>
      <c r="BG360" s="82"/>
      <c r="BH360" s="82"/>
      <c r="BI360" s="82"/>
      <c r="BJ360" s="82"/>
      <c r="BK360" s="82"/>
      <c r="BL360" s="82"/>
      <c r="BM360" s="82"/>
    </row>
    <row r="361" spans="1:65" x14ac:dyDescent="0.25">
      <c r="A361" s="82"/>
      <c r="B361" s="82"/>
      <c r="C361" s="82"/>
      <c r="D361" s="82"/>
      <c r="E361" s="82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2"/>
      <c r="AT361" s="82"/>
      <c r="AU361" s="82"/>
      <c r="AV361" s="82"/>
      <c r="AW361" s="82"/>
      <c r="AX361" s="82"/>
      <c r="AY361" s="82"/>
      <c r="AZ361" s="82"/>
      <c r="BA361" s="82"/>
      <c r="BB361" s="82"/>
      <c r="BC361" s="82"/>
      <c r="BD361" s="82"/>
      <c r="BE361" s="82"/>
      <c r="BF361" s="82"/>
      <c r="BG361" s="82"/>
      <c r="BH361" s="82"/>
      <c r="BI361" s="82"/>
      <c r="BJ361" s="82"/>
      <c r="BK361" s="82"/>
      <c r="BL361" s="82"/>
      <c r="BM361" s="82"/>
    </row>
    <row r="362" spans="1:65" x14ac:dyDescent="0.25">
      <c r="A362" s="82"/>
      <c r="B362" s="82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  <c r="AX362" s="82"/>
      <c r="AY362" s="82"/>
      <c r="AZ362" s="82"/>
      <c r="BA362" s="82"/>
      <c r="BB362" s="82"/>
      <c r="BC362" s="82"/>
      <c r="BD362" s="82"/>
      <c r="BE362" s="82"/>
      <c r="BF362" s="82"/>
      <c r="BG362" s="82"/>
      <c r="BH362" s="82"/>
      <c r="BI362" s="82"/>
      <c r="BJ362" s="82"/>
      <c r="BK362" s="82"/>
      <c r="BL362" s="82"/>
      <c r="BM362" s="82"/>
    </row>
    <row r="363" spans="1:65" x14ac:dyDescent="0.25">
      <c r="A363" s="82"/>
      <c r="B363" s="82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2"/>
      <c r="AU363" s="82"/>
      <c r="AV363" s="82"/>
      <c r="AW363" s="82"/>
      <c r="AX363" s="82"/>
      <c r="AY363" s="82"/>
      <c r="AZ363" s="82"/>
      <c r="BA363" s="82"/>
      <c r="BB363" s="82"/>
      <c r="BC363" s="82"/>
      <c r="BD363" s="82"/>
      <c r="BE363" s="82"/>
      <c r="BF363" s="82"/>
      <c r="BG363" s="82"/>
      <c r="BH363" s="82"/>
      <c r="BI363" s="82"/>
      <c r="BJ363" s="82"/>
      <c r="BK363" s="82"/>
      <c r="BL363" s="82"/>
      <c r="BM363" s="82"/>
    </row>
    <row r="364" spans="1:65" x14ac:dyDescent="0.25">
      <c r="A364" s="82"/>
      <c r="B364" s="82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2"/>
      <c r="AU364" s="82"/>
      <c r="AV364" s="82"/>
      <c r="AW364" s="82"/>
      <c r="AX364" s="82"/>
      <c r="AY364" s="82"/>
      <c r="AZ364" s="82"/>
      <c r="BA364" s="82"/>
      <c r="BB364" s="82"/>
      <c r="BC364" s="82"/>
      <c r="BD364" s="82"/>
      <c r="BE364" s="82"/>
      <c r="BF364" s="82"/>
      <c r="BG364" s="82"/>
      <c r="BH364" s="82"/>
      <c r="BI364" s="82"/>
      <c r="BJ364" s="82"/>
      <c r="BK364" s="82"/>
      <c r="BL364" s="82"/>
      <c r="BM364" s="82"/>
    </row>
    <row r="365" spans="1:65" x14ac:dyDescent="0.25">
      <c r="A365" s="82"/>
      <c r="B365" s="82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  <c r="AX365" s="82"/>
      <c r="AY365" s="82"/>
      <c r="AZ365" s="82"/>
      <c r="BA365" s="82"/>
      <c r="BB365" s="82"/>
      <c r="BC365" s="82"/>
      <c r="BD365" s="82"/>
      <c r="BE365" s="82"/>
      <c r="BF365" s="82"/>
      <c r="BG365" s="82"/>
      <c r="BH365" s="82"/>
      <c r="BI365" s="82"/>
      <c r="BJ365" s="82"/>
      <c r="BK365" s="82"/>
      <c r="BL365" s="82"/>
      <c r="BM365" s="82"/>
    </row>
    <row r="366" spans="1:65" x14ac:dyDescent="0.25">
      <c r="A366" s="82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2"/>
      <c r="AU366" s="82"/>
      <c r="AV366" s="82"/>
      <c r="AW366" s="82"/>
      <c r="AX366" s="82"/>
      <c r="AY366" s="82"/>
      <c r="AZ366" s="82"/>
      <c r="BA366" s="82"/>
      <c r="BB366" s="82"/>
      <c r="BC366" s="82"/>
      <c r="BD366" s="82"/>
      <c r="BE366" s="82"/>
      <c r="BF366" s="82"/>
      <c r="BG366" s="82"/>
      <c r="BH366" s="82"/>
      <c r="BI366" s="82"/>
      <c r="BJ366" s="82"/>
      <c r="BK366" s="82"/>
      <c r="BL366" s="82"/>
      <c r="BM366" s="82"/>
    </row>
    <row r="367" spans="1:65" x14ac:dyDescent="0.25">
      <c r="A367" s="82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82"/>
      <c r="AT367" s="82"/>
      <c r="AU367" s="82"/>
      <c r="AV367" s="82"/>
      <c r="AW367" s="82"/>
      <c r="AX367" s="82"/>
      <c r="AY367" s="82"/>
      <c r="AZ367" s="82"/>
      <c r="BA367" s="82"/>
      <c r="BB367" s="82"/>
      <c r="BC367" s="82"/>
      <c r="BD367" s="82"/>
      <c r="BE367" s="82"/>
      <c r="BF367" s="82"/>
      <c r="BG367" s="82"/>
      <c r="BH367" s="82"/>
      <c r="BI367" s="82"/>
      <c r="BJ367" s="82"/>
      <c r="BK367" s="82"/>
      <c r="BL367" s="82"/>
      <c r="BM367" s="82"/>
    </row>
    <row r="368" spans="1:65" x14ac:dyDescent="0.25">
      <c r="A368" s="82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2"/>
      <c r="AU368" s="82"/>
      <c r="AV368" s="82"/>
      <c r="AW368" s="82"/>
      <c r="AX368" s="82"/>
      <c r="AY368" s="82"/>
      <c r="AZ368" s="82"/>
      <c r="BA368" s="82"/>
      <c r="BB368" s="82"/>
      <c r="BC368" s="82"/>
      <c r="BD368" s="82"/>
      <c r="BE368" s="82"/>
      <c r="BF368" s="82"/>
      <c r="BG368" s="82"/>
      <c r="BH368" s="82"/>
      <c r="BI368" s="82"/>
      <c r="BJ368" s="82"/>
      <c r="BK368" s="82"/>
      <c r="BL368" s="82"/>
      <c r="BM368" s="82"/>
    </row>
    <row r="369" spans="1:65" x14ac:dyDescent="0.25">
      <c r="A369" s="82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82"/>
      <c r="AU369" s="82"/>
      <c r="AV369" s="82"/>
      <c r="AW369" s="82"/>
      <c r="AX369" s="82"/>
      <c r="AY369" s="82"/>
      <c r="AZ369" s="82"/>
      <c r="BA369" s="82"/>
      <c r="BB369" s="82"/>
      <c r="BC369" s="82"/>
      <c r="BD369" s="82"/>
      <c r="BE369" s="82"/>
      <c r="BF369" s="82"/>
      <c r="BG369" s="82"/>
      <c r="BH369" s="82"/>
      <c r="BI369" s="82"/>
      <c r="BJ369" s="82"/>
      <c r="BK369" s="82"/>
      <c r="BL369" s="82"/>
      <c r="BM369" s="82"/>
    </row>
    <row r="370" spans="1:65" x14ac:dyDescent="0.25">
      <c r="A370" s="82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  <c r="AX370" s="82"/>
      <c r="AY370" s="82"/>
      <c r="AZ370" s="82"/>
      <c r="BA370" s="82"/>
      <c r="BB370" s="82"/>
      <c r="BC370" s="82"/>
      <c r="BD370" s="82"/>
      <c r="BE370" s="82"/>
      <c r="BF370" s="82"/>
      <c r="BG370" s="82"/>
      <c r="BH370" s="82"/>
      <c r="BI370" s="82"/>
      <c r="BJ370" s="82"/>
      <c r="BK370" s="82"/>
      <c r="BL370" s="82"/>
      <c r="BM370" s="82"/>
    </row>
    <row r="371" spans="1:65" x14ac:dyDescent="0.25">
      <c r="A371" s="82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2"/>
      <c r="AT371" s="82"/>
      <c r="AU371" s="82"/>
      <c r="AV371" s="82"/>
      <c r="AW371" s="82"/>
      <c r="AX371" s="82"/>
      <c r="AY371" s="82"/>
      <c r="AZ371" s="82"/>
      <c r="BA371" s="82"/>
      <c r="BB371" s="82"/>
      <c r="BC371" s="82"/>
      <c r="BD371" s="82"/>
      <c r="BE371" s="82"/>
      <c r="BF371" s="82"/>
      <c r="BG371" s="82"/>
      <c r="BH371" s="82"/>
      <c r="BI371" s="82"/>
      <c r="BJ371" s="82"/>
      <c r="BK371" s="82"/>
      <c r="BL371" s="82"/>
      <c r="BM371" s="82"/>
    </row>
    <row r="372" spans="1:65" x14ac:dyDescent="0.25">
      <c r="A372" s="82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  <c r="AX372" s="82"/>
      <c r="AY372" s="82"/>
      <c r="AZ372" s="82"/>
      <c r="BA372" s="82"/>
      <c r="BB372" s="82"/>
      <c r="BC372" s="82"/>
      <c r="BD372" s="82"/>
      <c r="BE372" s="82"/>
      <c r="BF372" s="82"/>
      <c r="BG372" s="82"/>
      <c r="BH372" s="82"/>
      <c r="BI372" s="82"/>
      <c r="BJ372" s="82"/>
      <c r="BK372" s="82"/>
      <c r="BL372" s="82"/>
      <c r="BM372" s="82"/>
    </row>
    <row r="373" spans="1:65" x14ac:dyDescent="0.25">
      <c r="A373" s="82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82"/>
      <c r="AT373" s="82"/>
      <c r="AU373" s="82"/>
      <c r="AV373" s="82"/>
      <c r="AW373" s="82"/>
      <c r="AX373" s="82"/>
      <c r="AY373" s="82"/>
      <c r="AZ373" s="82"/>
      <c r="BA373" s="82"/>
      <c r="BB373" s="82"/>
      <c r="BC373" s="82"/>
      <c r="BD373" s="82"/>
      <c r="BE373" s="82"/>
      <c r="BF373" s="82"/>
      <c r="BG373" s="82"/>
      <c r="BH373" s="82"/>
      <c r="BI373" s="82"/>
      <c r="BJ373" s="82"/>
      <c r="BK373" s="82"/>
      <c r="BL373" s="82"/>
      <c r="BM373" s="82"/>
    </row>
    <row r="374" spans="1:65" x14ac:dyDescent="0.25">
      <c r="A374" s="82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82"/>
      <c r="AT374" s="82"/>
      <c r="AU374" s="82"/>
      <c r="AV374" s="82"/>
      <c r="AW374" s="82"/>
      <c r="AX374" s="82"/>
      <c r="AY374" s="82"/>
      <c r="AZ374" s="82"/>
      <c r="BA374" s="82"/>
      <c r="BB374" s="82"/>
      <c r="BC374" s="82"/>
      <c r="BD374" s="82"/>
      <c r="BE374" s="82"/>
      <c r="BF374" s="82"/>
      <c r="BG374" s="82"/>
      <c r="BH374" s="82"/>
      <c r="BI374" s="82"/>
      <c r="BJ374" s="82"/>
      <c r="BK374" s="82"/>
      <c r="BL374" s="82"/>
      <c r="BM374" s="82"/>
    </row>
    <row r="375" spans="1:65" x14ac:dyDescent="0.25">
      <c r="A375" s="82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82"/>
      <c r="AT375" s="82"/>
      <c r="AU375" s="82"/>
      <c r="AV375" s="82"/>
      <c r="AW375" s="82"/>
      <c r="AX375" s="82"/>
      <c r="AY375" s="82"/>
      <c r="AZ375" s="82"/>
      <c r="BA375" s="82"/>
      <c r="BB375" s="82"/>
      <c r="BC375" s="82"/>
      <c r="BD375" s="82"/>
      <c r="BE375" s="82"/>
      <c r="BF375" s="82"/>
      <c r="BG375" s="82"/>
      <c r="BH375" s="82"/>
      <c r="BI375" s="82"/>
      <c r="BJ375" s="82"/>
      <c r="BK375" s="82"/>
      <c r="BL375" s="82"/>
      <c r="BM375" s="82"/>
    </row>
    <row r="376" spans="1:65" x14ac:dyDescent="0.25">
      <c r="A376" s="82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82"/>
      <c r="AT376" s="82"/>
      <c r="AU376" s="82"/>
      <c r="AV376" s="82"/>
      <c r="AW376" s="82"/>
      <c r="AX376" s="82"/>
      <c r="AY376" s="82"/>
      <c r="AZ376" s="82"/>
      <c r="BA376" s="82"/>
      <c r="BB376" s="82"/>
      <c r="BC376" s="82"/>
      <c r="BD376" s="82"/>
      <c r="BE376" s="82"/>
      <c r="BF376" s="82"/>
      <c r="BG376" s="82"/>
      <c r="BH376" s="82"/>
      <c r="BI376" s="82"/>
      <c r="BJ376" s="82"/>
      <c r="BK376" s="82"/>
      <c r="BL376" s="82"/>
      <c r="BM376" s="82"/>
    </row>
    <row r="377" spans="1:65" x14ac:dyDescent="0.25">
      <c r="A377" s="82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82"/>
      <c r="AT377" s="82"/>
      <c r="AU377" s="82"/>
      <c r="AV377" s="82"/>
      <c r="AW377" s="82"/>
      <c r="AX377" s="82"/>
      <c r="AY377" s="82"/>
      <c r="AZ377" s="82"/>
      <c r="BA377" s="82"/>
      <c r="BB377" s="82"/>
      <c r="BC377" s="82"/>
      <c r="BD377" s="82"/>
      <c r="BE377" s="82"/>
      <c r="BF377" s="82"/>
      <c r="BG377" s="82"/>
      <c r="BH377" s="82"/>
      <c r="BI377" s="82"/>
      <c r="BJ377" s="82"/>
      <c r="BK377" s="82"/>
      <c r="BL377" s="82"/>
      <c r="BM377" s="82"/>
    </row>
    <row r="378" spans="1:65" x14ac:dyDescent="0.25">
      <c r="A378" s="82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82"/>
      <c r="AT378" s="82"/>
      <c r="AU378" s="82"/>
      <c r="AV378" s="82"/>
      <c r="AW378" s="82"/>
      <c r="AX378" s="82"/>
      <c r="AY378" s="82"/>
      <c r="AZ378" s="82"/>
      <c r="BA378" s="82"/>
      <c r="BB378" s="82"/>
      <c r="BC378" s="82"/>
      <c r="BD378" s="82"/>
      <c r="BE378" s="82"/>
      <c r="BF378" s="82"/>
      <c r="BG378" s="82"/>
      <c r="BH378" s="82"/>
      <c r="BI378" s="82"/>
      <c r="BJ378" s="82"/>
      <c r="BK378" s="82"/>
      <c r="BL378" s="82"/>
      <c r="BM378" s="82"/>
    </row>
    <row r="379" spans="1:65" x14ac:dyDescent="0.25">
      <c r="A379" s="82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82"/>
      <c r="AT379" s="82"/>
      <c r="AU379" s="82"/>
      <c r="AV379" s="82"/>
      <c r="AW379" s="82"/>
      <c r="AX379" s="82"/>
      <c r="AY379" s="82"/>
      <c r="AZ379" s="82"/>
      <c r="BA379" s="82"/>
      <c r="BB379" s="82"/>
      <c r="BC379" s="82"/>
      <c r="BD379" s="82"/>
      <c r="BE379" s="82"/>
      <c r="BF379" s="82"/>
      <c r="BG379" s="82"/>
      <c r="BH379" s="82"/>
      <c r="BI379" s="82"/>
      <c r="BJ379" s="82"/>
      <c r="BK379" s="82"/>
      <c r="BL379" s="82"/>
      <c r="BM379" s="82"/>
    </row>
    <row r="380" spans="1:65" x14ac:dyDescent="0.25">
      <c r="A380" s="82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82"/>
      <c r="AT380" s="82"/>
      <c r="AU380" s="82"/>
      <c r="AV380" s="82"/>
      <c r="AW380" s="82"/>
      <c r="AX380" s="82"/>
      <c r="AY380" s="82"/>
      <c r="AZ380" s="82"/>
      <c r="BA380" s="82"/>
      <c r="BB380" s="82"/>
      <c r="BC380" s="82"/>
      <c r="BD380" s="82"/>
      <c r="BE380" s="82"/>
      <c r="BF380" s="82"/>
      <c r="BG380" s="82"/>
      <c r="BH380" s="82"/>
      <c r="BI380" s="82"/>
      <c r="BJ380" s="82"/>
      <c r="BK380" s="82"/>
      <c r="BL380" s="82"/>
      <c r="BM380" s="82"/>
    </row>
    <row r="381" spans="1:65" x14ac:dyDescent="0.25">
      <c r="A381" s="82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82"/>
      <c r="AT381" s="82"/>
      <c r="AU381" s="82"/>
      <c r="AV381" s="82"/>
      <c r="AW381" s="82"/>
      <c r="AX381" s="82"/>
      <c r="AY381" s="82"/>
      <c r="AZ381" s="82"/>
      <c r="BA381" s="82"/>
      <c r="BB381" s="82"/>
      <c r="BC381" s="82"/>
      <c r="BD381" s="82"/>
      <c r="BE381" s="82"/>
      <c r="BF381" s="82"/>
      <c r="BG381" s="82"/>
      <c r="BH381" s="82"/>
      <c r="BI381" s="82"/>
      <c r="BJ381" s="82"/>
      <c r="BK381" s="82"/>
      <c r="BL381" s="82"/>
      <c r="BM381" s="82"/>
    </row>
    <row r="382" spans="1:65" x14ac:dyDescent="0.25">
      <c r="A382" s="82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82"/>
      <c r="AT382" s="82"/>
      <c r="AU382" s="82"/>
      <c r="AV382" s="82"/>
      <c r="AW382" s="82"/>
      <c r="AX382" s="82"/>
      <c r="AY382" s="82"/>
      <c r="AZ382" s="82"/>
      <c r="BA382" s="82"/>
      <c r="BB382" s="82"/>
      <c r="BC382" s="82"/>
      <c r="BD382" s="82"/>
      <c r="BE382" s="82"/>
      <c r="BF382" s="82"/>
      <c r="BG382" s="82"/>
      <c r="BH382" s="82"/>
      <c r="BI382" s="82"/>
      <c r="BJ382" s="82"/>
      <c r="BK382" s="82"/>
      <c r="BL382" s="82"/>
      <c r="BM382" s="82"/>
    </row>
    <row r="383" spans="1:65" x14ac:dyDescent="0.25">
      <c r="A383" s="82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82"/>
      <c r="AT383" s="82"/>
      <c r="AU383" s="82"/>
      <c r="AV383" s="82"/>
      <c r="AW383" s="82"/>
      <c r="AX383" s="82"/>
      <c r="AY383" s="82"/>
      <c r="AZ383" s="82"/>
      <c r="BA383" s="82"/>
      <c r="BB383" s="82"/>
      <c r="BC383" s="82"/>
      <c r="BD383" s="82"/>
      <c r="BE383" s="82"/>
      <c r="BF383" s="82"/>
      <c r="BG383" s="82"/>
      <c r="BH383" s="82"/>
      <c r="BI383" s="82"/>
      <c r="BJ383" s="82"/>
      <c r="BK383" s="82"/>
      <c r="BL383" s="82"/>
      <c r="BM383" s="82"/>
    </row>
    <row r="384" spans="1:65" x14ac:dyDescent="0.25">
      <c r="A384" s="82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82"/>
      <c r="AT384" s="82"/>
      <c r="AU384" s="82"/>
      <c r="AV384" s="82"/>
      <c r="AW384" s="82"/>
      <c r="AX384" s="82"/>
      <c r="AY384" s="82"/>
      <c r="AZ384" s="82"/>
      <c r="BA384" s="82"/>
      <c r="BB384" s="82"/>
      <c r="BC384" s="82"/>
      <c r="BD384" s="82"/>
      <c r="BE384" s="82"/>
      <c r="BF384" s="82"/>
      <c r="BG384" s="82"/>
      <c r="BH384" s="82"/>
      <c r="BI384" s="82"/>
      <c r="BJ384" s="82"/>
      <c r="BK384" s="82"/>
      <c r="BL384" s="82"/>
      <c r="BM384" s="82"/>
    </row>
    <row r="385" spans="1:65" x14ac:dyDescent="0.25">
      <c r="A385" s="82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82"/>
      <c r="AT385" s="82"/>
      <c r="AU385" s="82"/>
      <c r="AV385" s="82"/>
      <c r="AW385" s="82"/>
      <c r="AX385" s="82"/>
      <c r="AY385" s="82"/>
      <c r="AZ385" s="82"/>
      <c r="BA385" s="82"/>
      <c r="BB385" s="82"/>
      <c r="BC385" s="82"/>
      <c r="BD385" s="82"/>
      <c r="BE385" s="82"/>
      <c r="BF385" s="82"/>
      <c r="BG385" s="82"/>
      <c r="BH385" s="82"/>
      <c r="BI385" s="82"/>
      <c r="BJ385" s="82"/>
      <c r="BK385" s="82"/>
      <c r="BL385" s="82"/>
      <c r="BM385" s="82"/>
    </row>
    <row r="386" spans="1:65" x14ac:dyDescent="0.25">
      <c r="A386" s="82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82"/>
      <c r="AT386" s="82"/>
      <c r="AU386" s="82"/>
      <c r="AV386" s="82"/>
      <c r="AW386" s="82"/>
      <c r="AX386" s="82"/>
      <c r="AY386" s="82"/>
      <c r="AZ386" s="82"/>
      <c r="BA386" s="82"/>
      <c r="BB386" s="82"/>
      <c r="BC386" s="82"/>
      <c r="BD386" s="82"/>
      <c r="BE386" s="82"/>
      <c r="BF386" s="82"/>
      <c r="BG386" s="82"/>
      <c r="BH386" s="82"/>
      <c r="BI386" s="82"/>
      <c r="BJ386" s="82"/>
      <c r="BK386" s="82"/>
      <c r="BL386" s="82"/>
      <c r="BM386" s="82"/>
    </row>
    <row r="387" spans="1:65" x14ac:dyDescent="0.25">
      <c r="A387" s="82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  <c r="AX387" s="82"/>
      <c r="AY387" s="82"/>
      <c r="AZ387" s="82"/>
      <c r="BA387" s="82"/>
      <c r="BB387" s="82"/>
      <c r="BC387" s="82"/>
      <c r="BD387" s="82"/>
      <c r="BE387" s="82"/>
      <c r="BF387" s="82"/>
      <c r="BG387" s="82"/>
      <c r="BH387" s="82"/>
      <c r="BI387" s="82"/>
      <c r="BJ387" s="82"/>
      <c r="BK387" s="82"/>
      <c r="BL387" s="82"/>
      <c r="BM387" s="82"/>
    </row>
    <row r="388" spans="1:65" x14ac:dyDescent="0.25">
      <c r="A388" s="82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  <c r="AX388" s="82"/>
      <c r="AY388" s="82"/>
      <c r="AZ388" s="82"/>
      <c r="BA388" s="82"/>
      <c r="BB388" s="82"/>
      <c r="BC388" s="82"/>
      <c r="BD388" s="82"/>
      <c r="BE388" s="82"/>
      <c r="BF388" s="82"/>
      <c r="BG388" s="82"/>
      <c r="BH388" s="82"/>
      <c r="BI388" s="82"/>
      <c r="BJ388" s="82"/>
      <c r="BK388" s="82"/>
      <c r="BL388" s="82"/>
      <c r="BM388" s="82"/>
    </row>
    <row r="389" spans="1:65" x14ac:dyDescent="0.25">
      <c r="A389" s="82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2"/>
      <c r="AT389" s="82"/>
      <c r="AU389" s="82"/>
      <c r="AV389" s="82"/>
      <c r="AW389" s="82"/>
      <c r="AX389" s="82"/>
      <c r="AY389" s="82"/>
      <c r="AZ389" s="82"/>
      <c r="BA389" s="82"/>
      <c r="BB389" s="82"/>
      <c r="BC389" s="82"/>
      <c r="BD389" s="82"/>
      <c r="BE389" s="82"/>
      <c r="BF389" s="82"/>
      <c r="BG389" s="82"/>
      <c r="BH389" s="82"/>
      <c r="BI389" s="82"/>
      <c r="BJ389" s="82"/>
      <c r="BK389" s="82"/>
      <c r="BL389" s="82"/>
      <c r="BM389" s="82"/>
    </row>
    <row r="390" spans="1:65" x14ac:dyDescent="0.25">
      <c r="A390" s="82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2"/>
      <c r="AT390" s="82"/>
      <c r="AU390" s="82"/>
      <c r="AV390" s="82"/>
      <c r="AW390" s="82"/>
      <c r="AX390" s="82"/>
      <c r="AY390" s="82"/>
      <c r="AZ390" s="82"/>
      <c r="BA390" s="82"/>
      <c r="BB390" s="82"/>
      <c r="BC390" s="82"/>
      <c r="BD390" s="82"/>
      <c r="BE390" s="82"/>
      <c r="BF390" s="82"/>
      <c r="BG390" s="82"/>
      <c r="BH390" s="82"/>
      <c r="BI390" s="82"/>
      <c r="BJ390" s="82"/>
      <c r="BK390" s="82"/>
      <c r="BL390" s="82"/>
      <c r="BM390" s="82"/>
    </row>
    <row r="391" spans="1:65" x14ac:dyDescent="0.25">
      <c r="A391" s="82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  <c r="AX391" s="82"/>
      <c r="AY391" s="82"/>
      <c r="AZ391" s="82"/>
      <c r="BA391" s="82"/>
      <c r="BB391" s="82"/>
      <c r="BC391" s="82"/>
      <c r="BD391" s="82"/>
      <c r="BE391" s="82"/>
      <c r="BF391" s="82"/>
      <c r="BG391" s="82"/>
      <c r="BH391" s="82"/>
      <c r="BI391" s="82"/>
      <c r="BJ391" s="82"/>
      <c r="BK391" s="82"/>
      <c r="BL391" s="82"/>
      <c r="BM391" s="82"/>
    </row>
    <row r="392" spans="1:65" x14ac:dyDescent="0.25">
      <c r="A392" s="82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  <c r="AX392" s="82"/>
      <c r="AY392" s="82"/>
      <c r="AZ392" s="82"/>
      <c r="BA392" s="82"/>
      <c r="BB392" s="82"/>
      <c r="BC392" s="82"/>
      <c r="BD392" s="82"/>
      <c r="BE392" s="82"/>
      <c r="BF392" s="82"/>
      <c r="BG392" s="82"/>
      <c r="BH392" s="82"/>
      <c r="BI392" s="82"/>
      <c r="BJ392" s="82"/>
      <c r="BK392" s="82"/>
      <c r="BL392" s="82"/>
      <c r="BM392" s="82"/>
    </row>
    <row r="393" spans="1:65" x14ac:dyDescent="0.25">
      <c r="A393" s="82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  <c r="AX393" s="82"/>
      <c r="AY393" s="82"/>
      <c r="AZ393" s="82"/>
      <c r="BA393" s="82"/>
      <c r="BB393" s="82"/>
      <c r="BC393" s="82"/>
      <c r="BD393" s="82"/>
      <c r="BE393" s="82"/>
      <c r="BF393" s="82"/>
      <c r="BG393" s="82"/>
      <c r="BH393" s="82"/>
      <c r="BI393" s="82"/>
      <c r="BJ393" s="82"/>
      <c r="BK393" s="82"/>
      <c r="BL393" s="82"/>
      <c r="BM393" s="82"/>
    </row>
    <row r="394" spans="1:65" x14ac:dyDescent="0.25">
      <c r="A394" s="82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  <c r="AX394" s="82"/>
      <c r="AY394" s="82"/>
      <c r="AZ394" s="82"/>
      <c r="BA394" s="82"/>
      <c r="BB394" s="82"/>
      <c r="BC394" s="82"/>
      <c r="BD394" s="82"/>
      <c r="BE394" s="82"/>
      <c r="BF394" s="82"/>
      <c r="BG394" s="82"/>
      <c r="BH394" s="82"/>
      <c r="BI394" s="82"/>
      <c r="BJ394" s="82"/>
      <c r="BK394" s="82"/>
      <c r="BL394" s="82"/>
      <c r="BM394" s="82"/>
    </row>
    <row r="395" spans="1:65" x14ac:dyDescent="0.25">
      <c r="A395" s="82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  <c r="AX395" s="82"/>
      <c r="AY395" s="82"/>
      <c r="AZ395" s="82"/>
      <c r="BA395" s="82"/>
      <c r="BB395" s="82"/>
      <c r="BC395" s="82"/>
      <c r="BD395" s="82"/>
      <c r="BE395" s="82"/>
      <c r="BF395" s="82"/>
      <c r="BG395" s="82"/>
      <c r="BH395" s="82"/>
      <c r="BI395" s="82"/>
      <c r="BJ395" s="82"/>
      <c r="BK395" s="82"/>
      <c r="BL395" s="82"/>
      <c r="BM395" s="82"/>
    </row>
    <row r="396" spans="1:65" x14ac:dyDescent="0.25">
      <c r="A396" s="82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  <c r="AX396" s="82"/>
      <c r="AY396" s="82"/>
      <c r="AZ396" s="82"/>
      <c r="BA396" s="82"/>
      <c r="BB396" s="82"/>
      <c r="BC396" s="82"/>
      <c r="BD396" s="82"/>
      <c r="BE396" s="82"/>
      <c r="BF396" s="82"/>
      <c r="BG396" s="82"/>
      <c r="BH396" s="82"/>
      <c r="BI396" s="82"/>
      <c r="BJ396" s="82"/>
      <c r="BK396" s="82"/>
      <c r="BL396" s="82"/>
      <c r="BM396" s="82"/>
    </row>
    <row r="397" spans="1:65" x14ac:dyDescent="0.25">
      <c r="A397" s="82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  <c r="AX397" s="82"/>
      <c r="AY397" s="82"/>
      <c r="AZ397" s="82"/>
      <c r="BA397" s="82"/>
      <c r="BB397" s="82"/>
      <c r="BC397" s="82"/>
      <c r="BD397" s="82"/>
      <c r="BE397" s="82"/>
      <c r="BF397" s="82"/>
      <c r="BG397" s="82"/>
      <c r="BH397" s="82"/>
      <c r="BI397" s="82"/>
      <c r="BJ397" s="82"/>
      <c r="BK397" s="82"/>
      <c r="BL397" s="82"/>
      <c r="BM397" s="82"/>
    </row>
    <row r="398" spans="1:65" x14ac:dyDescent="0.25">
      <c r="A398" s="82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  <c r="AX398" s="82"/>
      <c r="AY398" s="82"/>
      <c r="AZ398" s="82"/>
      <c r="BA398" s="82"/>
      <c r="BB398" s="82"/>
      <c r="BC398" s="82"/>
      <c r="BD398" s="82"/>
      <c r="BE398" s="82"/>
      <c r="BF398" s="82"/>
      <c r="BG398" s="82"/>
      <c r="BH398" s="82"/>
      <c r="BI398" s="82"/>
      <c r="BJ398" s="82"/>
      <c r="BK398" s="82"/>
      <c r="BL398" s="82"/>
      <c r="BM398" s="82"/>
    </row>
    <row r="399" spans="1:65" x14ac:dyDescent="0.25">
      <c r="A399" s="82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  <c r="AX399" s="82"/>
      <c r="AY399" s="82"/>
      <c r="AZ399" s="82"/>
      <c r="BA399" s="82"/>
      <c r="BB399" s="82"/>
      <c r="BC399" s="82"/>
      <c r="BD399" s="82"/>
      <c r="BE399" s="82"/>
      <c r="BF399" s="82"/>
      <c r="BG399" s="82"/>
      <c r="BH399" s="82"/>
      <c r="BI399" s="82"/>
      <c r="BJ399" s="82"/>
      <c r="BK399" s="82"/>
      <c r="BL399" s="82"/>
      <c r="BM399" s="82"/>
    </row>
    <row r="400" spans="1:65" x14ac:dyDescent="0.25">
      <c r="A400" s="82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  <c r="AX400" s="82"/>
      <c r="AY400" s="82"/>
      <c r="AZ400" s="82"/>
      <c r="BA400" s="82"/>
      <c r="BB400" s="82"/>
      <c r="BC400" s="82"/>
      <c r="BD400" s="82"/>
      <c r="BE400" s="82"/>
      <c r="BF400" s="82"/>
      <c r="BG400" s="82"/>
      <c r="BH400" s="82"/>
      <c r="BI400" s="82"/>
      <c r="BJ400" s="82"/>
      <c r="BK400" s="82"/>
      <c r="BL400" s="82"/>
      <c r="BM400" s="82"/>
    </row>
    <row r="401" spans="1:65" x14ac:dyDescent="0.25">
      <c r="A401" s="82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  <c r="AX401" s="82"/>
      <c r="AY401" s="82"/>
      <c r="AZ401" s="82"/>
      <c r="BA401" s="82"/>
      <c r="BB401" s="82"/>
      <c r="BC401" s="82"/>
      <c r="BD401" s="82"/>
      <c r="BE401" s="82"/>
      <c r="BF401" s="82"/>
      <c r="BG401" s="82"/>
      <c r="BH401" s="82"/>
      <c r="BI401" s="82"/>
      <c r="BJ401" s="82"/>
      <c r="BK401" s="82"/>
      <c r="BL401" s="82"/>
      <c r="BM401" s="82"/>
    </row>
    <row r="402" spans="1:65" x14ac:dyDescent="0.25">
      <c r="A402" s="82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  <c r="AX402" s="82"/>
      <c r="AY402" s="82"/>
      <c r="AZ402" s="82"/>
      <c r="BA402" s="82"/>
      <c r="BB402" s="82"/>
      <c r="BC402" s="82"/>
      <c r="BD402" s="82"/>
      <c r="BE402" s="82"/>
      <c r="BF402" s="82"/>
      <c r="BG402" s="82"/>
      <c r="BH402" s="82"/>
      <c r="BI402" s="82"/>
      <c r="BJ402" s="82"/>
      <c r="BK402" s="82"/>
      <c r="BL402" s="82"/>
      <c r="BM402" s="82"/>
    </row>
    <row r="403" spans="1:65" x14ac:dyDescent="0.25">
      <c r="A403" s="82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  <c r="AX403" s="82"/>
      <c r="AY403" s="82"/>
      <c r="AZ403" s="82"/>
      <c r="BA403" s="82"/>
      <c r="BB403" s="82"/>
      <c r="BC403" s="82"/>
      <c r="BD403" s="82"/>
      <c r="BE403" s="82"/>
      <c r="BF403" s="82"/>
      <c r="BG403" s="82"/>
      <c r="BH403" s="82"/>
      <c r="BI403" s="82"/>
      <c r="BJ403" s="82"/>
      <c r="BK403" s="82"/>
      <c r="BL403" s="82"/>
      <c r="BM403" s="82"/>
    </row>
    <row r="404" spans="1:65" x14ac:dyDescent="0.25">
      <c r="A404" s="82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  <c r="AX404" s="82"/>
      <c r="AY404" s="82"/>
      <c r="AZ404" s="82"/>
      <c r="BA404" s="82"/>
      <c r="BB404" s="82"/>
      <c r="BC404" s="82"/>
      <c r="BD404" s="82"/>
      <c r="BE404" s="82"/>
      <c r="BF404" s="82"/>
      <c r="BG404" s="82"/>
      <c r="BH404" s="82"/>
      <c r="BI404" s="82"/>
      <c r="BJ404" s="82"/>
      <c r="BK404" s="82"/>
      <c r="BL404" s="82"/>
      <c r="BM404" s="82"/>
    </row>
    <row r="405" spans="1:65" x14ac:dyDescent="0.25">
      <c r="A405" s="82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  <c r="AX405" s="82"/>
      <c r="AY405" s="82"/>
      <c r="AZ405" s="82"/>
      <c r="BA405" s="82"/>
      <c r="BB405" s="82"/>
      <c r="BC405" s="82"/>
      <c r="BD405" s="82"/>
      <c r="BE405" s="82"/>
      <c r="BF405" s="82"/>
      <c r="BG405" s="82"/>
      <c r="BH405" s="82"/>
      <c r="BI405" s="82"/>
      <c r="BJ405" s="82"/>
      <c r="BK405" s="82"/>
      <c r="BL405" s="82"/>
      <c r="BM405" s="82"/>
    </row>
    <row r="406" spans="1:65" x14ac:dyDescent="0.25">
      <c r="A406" s="82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  <c r="AX406" s="82"/>
      <c r="AY406" s="82"/>
      <c r="AZ406" s="82"/>
      <c r="BA406" s="82"/>
      <c r="BB406" s="82"/>
      <c r="BC406" s="82"/>
      <c r="BD406" s="82"/>
      <c r="BE406" s="82"/>
      <c r="BF406" s="82"/>
      <c r="BG406" s="82"/>
      <c r="BH406" s="82"/>
      <c r="BI406" s="82"/>
      <c r="BJ406" s="82"/>
      <c r="BK406" s="82"/>
      <c r="BL406" s="82"/>
      <c r="BM406" s="82"/>
    </row>
    <row r="407" spans="1:65" x14ac:dyDescent="0.25">
      <c r="A407" s="82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  <c r="AX407" s="82"/>
      <c r="AY407" s="82"/>
      <c r="AZ407" s="82"/>
      <c r="BA407" s="82"/>
      <c r="BB407" s="82"/>
      <c r="BC407" s="82"/>
      <c r="BD407" s="82"/>
      <c r="BE407" s="82"/>
      <c r="BF407" s="82"/>
      <c r="BG407" s="82"/>
      <c r="BH407" s="82"/>
      <c r="BI407" s="82"/>
      <c r="BJ407" s="82"/>
      <c r="BK407" s="82"/>
      <c r="BL407" s="82"/>
      <c r="BM407" s="82"/>
    </row>
    <row r="408" spans="1:65" x14ac:dyDescent="0.25">
      <c r="A408" s="82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  <c r="AX408" s="82"/>
      <c r="AY408" s="82"/>
      <c r="AZ408" s="82"/>
      <c r="BA408" s="82"/>
      <c r="BB408" s="82"/>
      <c r="BC408" s="82"/>
      <c r="BD408" s="82"/>
      <c r="BE408" s="82"/>
      <c r="BF408" s="82"/>
      <c r="BG408" s="82"/>
      <c r="BH408" s="82"/>
      <c r="BI408" s="82"/>
      <c r="BJ408" s="82"/>
      <c r="BK408" s="82"/>
      <c r="BL408" s="82"/>
      <c r="BM408" s="82"/>
    </row>
    <row r="409" spans="1:65" x14ac:dyDescent="0.25">
      <c r="A409" s="82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  <c r="AX409" s="82"/>
      <c r="AY409" s="82"/>
      <c r="AZ409" s="82"/>
      <c r="BA409" s="82"/>
      <c r="BB409" s="82"/>
      <c r="BC409" s="82"/>
      <c r="BD409" s="82"/>
      <c r="BE409" s="82"/>
      <c r="BF409" s="82"/>
      <c r="BG409" s="82"/>
      <c r="BH409" s="82"/>
      <c r="BI409" s="82"/>
      <c r="BJ409" s="82"/>
      <c r="BK409" s="82"/>
      <c r="BL409" s="82"/>
      <c r="BM409" s="82"/>
    </row>
    <row r="410" spans="1:65" x14ac:dyDescent="0.25">
      <c r="A410" s="82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  <c r="AX410" s="82"/>
      <c r="AY410" s="82"/>
      <c r="AZ410" s="82"/>
      <c r="BA410" s="82"/>
      <c r="BB410" s="82"/>
      <c r="BC410" s="82"/>
      <c r="BD410" s="82"/>
      <c r="BE410" s="82"/>
      <c r="BF410" s="82"/>
      <c r="BG410" s="82"/>
      <c r="BH410" s="82"/>
      <c r="BI410" s="82"/>
      <c r="BJ410" s="82"/>
      <c r="BK410" s="82"/>
      <c r="BL410" s="82"/>
      <c r="BM410" s="82"/>
    </row>
    <row r="411" spans="1:65" x14ac:dyDescent="0.25">
      <c r="A411" s="82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  <c r="AX411" s="82"/>
      <c r="AY411" s="82"/>
      <c r="AZ411" s="82"/>
      <c r="BA411" s="82"/>
      <c r="BB411" s="82"/>
      <c r="BC411" s="82"/>
      <c r="BD411" s="82"/>
      <c r="BE411" s="82"/>
      <c r="BF411" s="82"/>
      <c r="BG411" s="82"/>
      <c r="BH411" s="82"/>
      <c r="BI411" s="82"/>
      <c r="BJ411" s="82"/>
      <c r="BK411" s="82"/>
      <c r="BL411" s="82"/>
      <c r="BM411" s="82"/>
    </row>
    <row r="412" spans="1:65" x14ac:dyDescent="0.25">
      <c r="A412" s="82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  <c r="AX412" s="82"/>
      <c r="AY412" s="82"/>
      <c r="AZ412" s="82"/>
      <c r="BA412" s="82"/>
      <c r="BB412" s="82"/>
      <c r="BC412" s="82"/>
      <c r="BD412" s="82"/>
      <c r="BE412" s="82"/>
      <c r="BF412" s="82"/>
      <c r="BG412" s="82"/>
      <c r="BH412" s="82"/>
      <c r="BI412" s="82"/>
      <c r="BJ412" s="82"/>
      <c r="BK412" s="82"/>
      <c r="BL412" s="82"/>
      <c r="BM412" s="82"/>
    </row>
    <row r="413" spans="1:65" x14ac:dyDescent="0.25">
      <c r="A413" s="82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  <c r="AX413" s="82"/>
      <c r="AY413" s="82"/>
      <c r="AZ413" s="82"/>
      <c r="BA413" s="82"/>
      <c r="BB413" s="82"/>
      <c r="BC413" s="82"/>
      <c r="BD413" s="82"/>
      <c r="BE413" s="82"/>
      <c r="BF413" s="82"/>
      <c r="BG413" s="82"/>
      <c r="BH413" s="82"/>
      <c r="BI413" s="82"/>
      <c r="BJ413" s="82"/>
      <c r="BK413" s="82"/>
      <c r="BL413" s="82"/>
      <c r="BM413" s="82"/>
    </row>
    <row r="414" spans="1:65" x14ac:dyDescent="0.25">
      <c r="A414" s="82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  <c r="AX414" s="82"/>
      <c r="AY414" s="82"/>
      <c r="AZ414" s="82"/>
      <c r="BA414" s="82"/>
      <c r="BB414" s="82"/>
      <c r="BC414" s="82"/>
      <c r="BD414" s="82"/>
      <c r="BE414" s="82"/>
      <c r="BF414" s="82"/>
      <c r="BG414" s="82"/>
      <c r="BH414" s="82"/>
      <c r="BI414" s="82"/>
      <c r="BJ414" s="82"/>
      <c r="BK414" s="82"/>
      <c r="BL414" s="82"/>
      <c r="BM414" s="82"/>
    </row>
    <row r="415" spans="1:65" x14ac:dyDescent="0.25">
      <c r="A415" s="82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  <c r="AX415" s="82"/>
      <c r="AY415" s="82"/>
      <c r="AZ415" s="82"/>
      <c r="BA415" s="82"/>
      <c r="BB415" s="82"/>
      <c r="BC415" s="82"/>
      <c r="BD415" s="82"/>
      <c r="BE415" s="82"/>
      <c r="BF415" s="82"/>
      <c r="BG415" s="82"/>
      <c r="BH415" s="82"/>
      <c r="BI415" s="82"/>
      <c r="BJ415" s="82"/>
      <c r="BK415" s="82"/>
      <c r="BL415" s="82"/>
      <c r="BM415" s="82"/>
    </row>
    <row r="416" spans="1:65" x14ac:dyDescent="0.25">
      <c r="A416" s="82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  <c r="AX416" s="82"/>
      <c r="AY416" s="82"/>
      <c r="AZ416" s="82"/>
      <c r="BA416" s="82"/>
      <c r="BB416" s="82"/>
      <c r="BC416" s="82"/>
      <c r="BD416" s="82"/>
      <c r="BE416" s="82"/>
      <c r="BF416" s="82"/>
      <c r="BG416" s="82"/>
      <c r="BH416" s="82"/>
      <c r="BI416" s="82"/>
      <c r="BJ416" s="82"/>
      <c r="BK416" s="82"/>
      <c r="BL416" s="82"/>
      <c r="BM416" s="82"/>
    </row>
    <row r="417" spans="1:65" x14ac:dyDescent="0.25">
      <c r="A417" s="82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  <c r="AX417" s="82"/>
      <c r="AY417" s="82"/>
      <c r="AZ417" s="82"/>
      <c r="BA417" s="82"/>
      <c r="BB417" s="82"/>
      <c r="BC417" s="82"/>
      <c r="BD417" s="82"/>
      <c r="BE417" s="82"/>
      <c r="BF417" s="82"/>
      <c r="BG417" s="82"/>
      <c r="BH417" s="82"/>
      <c r="BI417" s="82"/>
      <c r="BJ417" s="82"/>
      <c r="BK417" s="82"/>
      <c r="BL417" s="82"/>
      <c r="BM417" s="82"/>
    </row>
    <row r="418" spans="1:65" x14ac:dyDescent="0.25">
      <c r="A418" s="82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  <c r="AX418" s="82"/>
      <c r="AY418" s="82"/>
      <c r="AZ418" s="82"/>
      <c r="BA418" s="82"/>
      <c r="BB418" s="82"/>
      <c r="BC418" s="82"/>
      <c r="BD418" s="82"/>
      <c r="BE418" s="82"/>
      <c r="BF418" s="82"/>
      <c r="BG418" s="82"/>
      <c r="BH418" s="82"/>
      <c r="BI418" s="82"/>
      <c r="BJ418" s="82"/>
      <c r="BK418" s="82"/>
      <c r="BL418" s="82"/>
      <c r="BM418" s="82"/>
    </row>
    <row r="419" spans="1:65" x14ac:dyDescent="0.25">
      <c r="A419" s="82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  <c r="AX419" s="82"/>
      <c r="AY419" s="82"/>
      <c r="AZ419" s="82"/>
      <c r="BA419" s="82"/>
      <c r="BB419" s="82"/>
      <c r="BC419" s="82"/>
      <c r="BD419" s="82"/>
      <c r="BE419" s="82"/>
      <c r="BF419" s="82"/>
      <c r="BG419" s="82"/>
      <c r="BH419" s="82"/>
      <c r="BI419" s="82"/>
      <c r="BJ419" s="82"/>
      <c r="BK419" s="82"/>
      <c r="BL419" s="82"/>
      <c r="BM419" s="82"/>
    </row>
    <row r="420" spans="1:65" x14ac:dyDescent="0.25">
      <c r="A420" s="82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  <c r="AX420" s="82"/>
      <c r="AY420" s="82"/>
      <c r="AZ420" s="82"/>
      <c r="BA420" s="82"/>
      <c r="BB420" s="82"/>
      <c r="BC420" s="82"/>
      <c r="BD420" s="82"/>
      <c r="BE420" s="82"/>
      <c r="BF420" s="82"/>
      <c r="BG420" s="82"/>
      <c r="BH420" s="82"/>
      <c r="BI420" s="82"/>
      <c r="BJ420" s="82"/>
      <c r="BK420" s="82"/>
      <c r="BL420" s="82"/>
      <c r="BM420" s="82"/>
    </row>
    <row r="421" spans="1:65" x14ac:dyDescent="0.25">
      <c r="A421" s="82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  <c r="AX421" s="82"/>
      <c r="AY421" s="82"/>
      <c r="AZ421" s="82"/>
      <c r="BA421" s="82"/>
      <c r="BB421" s="82"/>
      <c r="BC421" s="82"/>
      <c r="BD421" s="82"/>
      <c r="BE421" s="82"/>
      <c r="BF421" s="82"/>
      <c r="BG421" s="82"/>
      <c r="BH421" s="82"/>
      <c r="BI421" s="82"/>
      <c r="BJ421" s="82"/>
      <c r="BK421" s="82"/>
      <c r="BL421" s="82"/>
      <c r="BM421" s="82"/>
    </row>
    <row r="422" spans="1:65" x14ac:dyDescent="0.25">
      <c r="A422" s="82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  <c r="AX422" s="82"/>
      <c r="AY422" s="82"/>
      <c r="AZ422" s="82"/>
      <c r="BA422" s="82"/>
      <c r="BB422" s="82"/>
      <c r="BC422" s="82"/>
      <c r="BD422" s="82"/>
      <c r="BE422" s="82"/>
      <c r="BF422" s="82"/>
      <c r="BG422" s="82"/>
      <c r="BH422" s="82"/>
      <c r="BI422" s="82"/>
      <c r="BJ422" s="82"/>
      <c r="BK422" s="82"/>
      <c r="BL422" s="82"/>
      <c r="BM422" s="82"/>
    </row>
    <row r="423" spans="1:65" x14ac:dyDescent="0.25">
      <c r="A423" s="82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  <c r="AX423" s="82"/>
      <c r="AY423" s="82"/>
      <c r="AZ423" s="82"/>
      <c r="BA423" s="82"/>
      <c r="BB423" s="82"/>
      <c r="BC423" s="82"/>
      <c r="BD423" s="82"/>
      <c r="BE423" s="82"/>
      <c r="BF423" s="82"/>
      <c r="BG423" s="82"/>
      <c r="BH423" s="82"/>
      <c r="BI423" s="82"/>
      <c r="BJ423" s="82"/>
      <c r="BK423" s="82"/>
      <c r="BL423" s="82"/>
      <c r="BM423" s="82"/>
    </row>
    <row r="424" spans="1:65" x14ac:dyDescent="0.25">
      <c r="A424" s="82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  <c r="AX424" s="82"/>
      <c r="AY424" s="82"/>
      <c r="AZ424" s="82"/>
      <c r="BA424" s="82"/>
      <c r="BB424" s="82"/>
      <c r="BC424" s="82"/>
      <c r="BD424" s="82"/>
      <c r="BE424" s="82"/>
      <c r="BF424" s="82"/>
      <c r="BG424" s="82"/>
      <c r="BH424" s="82"/>
      <c r="BI424" s="82"/>
      <c r="BJ424" s="82"/>
      <c r="BK424" s="82"/>
      <c r="BL424" s="82"/>
      <c r="BM424" s="82"/>
    </row>
    <row r="425" spans="1:65" x14ac:dyDescent="0.25">
      <c r="A425" s="82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  <c r="AX425" s="82"/>
      <c r="AY425" s="82"/>
      <c r="AZ425" s="82"/>
      <c r="BA425" s="82"/>
      <c r="BB425" s="82"/>
      <c r="BC425" s="82"/>
      <c r="BD425" s="82"/>
      <c r="BE425" s="82"/>
      <c r="BF425" s="82"/>
      <c r="BG425" s="82"/>
      <c r="BH425" s="82"/>
      <c r="BI425" s="82"/>
      <c r="BJ425" s="82"/>
      <c r="BK425" s="82"/>
      <c r="BL425" s="82"/>
      <c r="BM425" s="82"/>
    </row>
    <row r="426" spans="1:65" x14ac:dyDescent="0.25">
      <c r="A426" s="82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  <c r="AX426" s="82"/>
      <c r="AY426" s="82"/>
      <c r="AZ426" s="82"/>
      <c r="BA426" s="82"/>
      <c r="BB426" s="82"/>
      <c r="BC426" s="82"/>
      <c r="BD426" s="82"/>
      <c r="BE426" s="82"/>
      <c r="BF426" s="82"/>
      <c r="BG426" s="82"/>
      <c r="BH426" s="82"/>
      <c r="BI426" s="82"/>
      <c r="BJ426" s="82"/>
      <c r="BK426" s="82"/>
      <c r="BL426" s="82"/>
      <c r="BM426" s="82"/>
    </row>
    <row r="427" spans="1:65" x14ac:dyDescent="0.25">
      <c r="A427" s="82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  <c r="AX427" s="82"/>
      <c r="AY427" s="82"/>
      <c r="AZ427" s="82"/>
      <c r="BA427" s="82"/>
      <c r="BB427" s="82"/>
      <c r="BC427" s="82"/>
      <c r="BD427" s="82"/>
      <c r="BE427" s="82"/>
      <c r="BF427" s="82"/>
      <c r="BG427" s="82"/>
      <c r="BH427" s="82"/>
      <c r="BI427" s="82"/>
      <c r="BJ427" s="82"/>
      <c r="BK427" s="82"/>
      <c r="BL427" s="82"/>
      <c r="BM427" s="82"/>
    </row>
    <row r="428" spans="1:65" x14ac:dyDescent="0.25">
      <c r="A428" s="82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  <c r="AX428" s="82"/>
      <c r="AY428" s="82"/>
      <c r="AZ428" s="82"/>
      <c r="BA428" s="82"/>
      <c r="BB428" s="82"/>
      <c r="BC428" s="82"/>
      <c r="BD428" s="82"/>
      <c r="BE428" s="82"/>
      <c r="BF428" s="82"/>
      <c r="BG428" s="82"/>
      <c r="BH428" s="82"/>
      <c r="BI428" s="82"/>
      <c r="BJ428" s="82"/>
      <c r="BK428" s="82"/>
      <c r="BL428" s="82"/>
      <c r="BM428" s="82"/>
    </row>
    <row r="429" spans="1:65" x14ac:dyDescent="0.25">
      <c r="A429" s="82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  <c r="AX429" s="82"/>
      <c r="AY429" s="82"/>
      <c r="AZ429" s="82"/>
      <c r="BA429" s="82"/>
      <c r="BB429" s="82"/>
      <c r="BC429" s="82"/>
      <c r="BD429" s="82"/>
      <c r="BE429" s="82"/>
      <c r="BF429" s="82"/>
      <c r="BG429" s="82"/>
      <c r="BH429" s="82"/>
      <c r="BI429" s="82"/>
      <c r="BJ429" s="82"/>
      <c r="BK429" s="82"/>
      <c r="BL429" s="82"/>
      <c r="BM429" s="82"/>
    </row>
    <row r="430" spans="1:65" x14ac:dyDescent="0.25">
      <c r="A430" s="82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  <c r="AX430" s="82"/>
      <c r="AY430" s="82"/>
      <c r="AZ430" s="82"/>
      <c r="BA430" s="82"/>
      <c r="BB430" s="82"/>
      <c r="BC430" s="82"/>
      <c r="BD430" s="82"/>
      <c r="BE430" s="82"/>
      <c r="BF430" s="82"/>
      <c r="BG430" s="82"/>
      <c r="BH430" s="82"/>
      <c r="BI430" s="82"/>
      <c r="BJ430" s="82"/>
      <c r="BK430" s="82"/>
      <c r="BL430" s="82"/>
      <c r="BM430" s="82"/>
    </row>
    <row r="431" spans="1:65" x14ac:dyDescent="0.25">
      <c r="A431" s="82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  <c r="AX431" s="82"/>
      <c r="AY431" s="82"/>
      <c r="AZ431" s="82"/>
      <c r="BA431" s="82"/>
      <c r="BB431" s="82"/>
      <c r="BC431" s="82"/>
      <c r="BD431" s="82"/>
      <c r="BE431" s="82"/>
      <c r="BF431" s="82"/>
      <c r="BG431" s="82"/>
      <c r="BH431" s="82"/>
      <c r="BI431" s="82"/>
      <c r="BJ431" s="82"/>
      <c r="BK431" s="82"/>
      <c r="BL431" s="82"/>
      <c r="BM431" s="82"/>
    </row>
    <row r="432" spans="1:65" x14ac:dyDescent="0.25">
      <c r="A432" s="82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  <c r="AX432" s="82"/>
      <c r="AY432" s="82"/>
      <c r="AZ432" s="82"/>
      <c r="BA432" s="82"/>
      <c r="BB432" s="82"/>
      <c r="BC432" s="82"/>
      <c r="BD432" s="82"/>
      <c r="BE432" s="82"/>
      <c r="BF432" s="82"/>
      <c r="BG432" s="82"/>
      <c r="BH432" s="82"/>
      <c r="BI432" s="82"/>
      <c r="BJ432" s="82"/>
      <c r="BK432" s="82"/>
      <c r="BL432" s="82"/>
      <c r="BM432" s="82"/>
    </row>
    <row r="433" spans="1:65" x14ac:dyDescent="0.25">
      <c r="A433" s="82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  <c r="AX433" s="82"/>
      <c r="AY433" s="82"/>
      <c r="AZ433" s="82"/>
      <c r="BA433" s="82"/>
      <c r="BB433" s="82"/>
      <c r="BC433" s="82"/>
      <c r="BD433" s="82"/>
      <c r="BE433" s="82"/>
      <c r="BF433" s="82"/>
      <c r="BG433" s="82"/>
      <c r="BH433" s="82"/>
      <c r="BI433" s="82"/>
      <c r="BJ433" s="82"/>
      <c r="BK433" s="82"/>
      <c r="BL433" s="82"/>
      <c r="BM433" s="82"/>
    </row>
    <row r="434" spans="1:65" x14ac:dyDescent="0.25">
      <c r="A434" s="82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  <c r="AX434" s="82"/>
      <c r="AY434" s="82"/>
      <c r="AZ434" s="82"/>
      <c r="BA434" s="82"/>
      <c r="BB434" s="82"/>
      <c r="BC434" s="82"/>
      <c r="BD434" s="82"/>
      <c r="BE434" s="82"/>
      <c r="BF434" s="82"/>
      <c r="BG434" s="82"/>
      <c r="BH434" s="82"/>
      <c r="BI434" s="82"/>
      <c r="BJ434" s="82"/>
      <c r="BK434" s="82"/>
      <c r="BL434" s="82"/>
      <c r="BM434" s="82"/>
    </row>
    <row r="435" spans="1:65" x14ac:dyDescent="0.25">
      <c r="A435" s="82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  <c r="AX435" s="82"/>
      <c r="AY435" s="82"/>
      <c r="AZ435" s="82"/>
      <c r="BA435" s="82"/>
      <c r="BB435" s="82"/>
      <c r="BC435" s="82"/>
      <c r="BD435" s="82"/>
      <c r="BE435" s="82"/>
      <c r="BF435" s="82"/>
      <c r="BG435" s="82"/>
      <c r="BH435" s="82"/>
      <c r="BI435" s="82"/>
      <c r="BJ435" s="82"/>
      <c r="BK435" s="82"/>
      <c r="BL435" s="82"/>
      <c r="BM435" s="82"/>
    </row>
    <row r="436" spans="1:65" x14ac:dyDescent="0.25">
      <c r="A436" s="82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  <c r="AX436" s="82"/>
      <c r="AY436" s="82"/>
      <c r="AZ436" s="82"/>
      <c r="BA436" s="82"/>
      <c r="BB436" s="82"/>
      <c r="BC436" s="82"/>
      <c r="BD436" s="82"/>
      <c r="BE436" s="82"/>
      <c r="BF436" s="82"/>
      <c r="BG436" s="82"/>
      <c r="BH436" s="82"/>
      <c r="BI436" s="82"/>
      <c r="BJ436" s="82"/>
      <c r="BK436" s="82"/>
      <c r="BL436" s="82"/>
      <c r="BM436" s="82"/>
    </row>
    <row r="437" spans="1:65" x14ac:dyDescent="0.25">
      <c r="A437" s="82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  <c r="AX437" s="82"/>
      <c r="AY437" s="82"/>
      <c r="AZ437" s="82"/>
      <c r="BA437" s="82"/>
      <c r="BB437" s="82"/>
      <c r="BC437" s="82"/>
      <c r="BD437" s="82"/>
      <c r="BE437" s="82"/>
      <c r="BF437" s="82"/>
      <c r="BG437" s="82"/>
      <c r="BH437" s="82"/>
      <c r="BI437" s="82"/>
      <c r="BJ437" s="82"/>
      <c r="BK437" s="82"/>
      <c r="BL437" s="82"/>
      <c r="BM437" s="82"/>
    </row>
    <row r="438" spans="1:65" x14ac:dyDescent="0.25">
      <c r="A438" s="82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  <c r="AX438" s="82"/>
      <c r="AY438" s="82"/>
      <c r="AZ438" s="82"/>
      <c r="BA438" s="82"/>
      <c r="BB438" s="82"/>
      <c r="BC438" s="82"/>
      <c r="BD438" s="82"/>
      <c r="BE438" s="82"/>
      <c r="BF438" s="82"/>
      <c r="BG438" s="82"/>
      <c r="BH438" s="82"/>
      <c r="BI438" s="82"/>
      <c r="BJ438" s="82"/>
      <c r="BK438" s="82"/>
      <c r="BL438" s="82"/>
      <c r="BM438" s="82"/>
    </row>
    <row r="439" spans="1:65" x14ac:dyDescent="0.25">
      <c r="A439" s="82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  <c r="AX439" s="82"/>
      <c r="AY439" s="82"/>
      <c r="AZ439" s="82"/>
      <c r="BA439" s="82"/>
      <c r="BB439" s="82"/>
      <c r="BC439" s="82"/>
      <c r="BD439" s="82"/>
      <c r="BE439" s="82"/>
      <c r="BF439" s="82"/>
      <c r="BG439" s="82"/>
      <c r="BH439" s="82"/>
      <c r="BI439" s="82"/>
      <c r="BJ439" s="82"/>
      <c r="BK439" s="82"/>
      <c r="BL439" s="82"/>
      <c r="BM439" s="82"/>
    </row>
    <row r="440" spans="1:65" x14ac:dyDescent="0.25">
      <c r="A440" s="82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  <c r="AX440" s="82"/>
      <c r="AY440" s="82"/>
      <c r="AZ440" s="82"/>
      <c r="BA440" s="82"/>
      <c r="BB440" s="82"/>
      <c r="BC440" s="82"/>
      <c r="BD440" s="82"/>
      <c r="BE440" s="82"/>
      <c r="BF440" s="82"/>
      <c r="BG440" s="82"/>
      <c r="BH440" s="82"/>
      <c r="BI440" s="82"/>
      <c r="BJ440" s="82"/>
      <c r="BK440" s="82"/>
      <c r="BL440" s="82"/>
      <c r="BM440" s="82"/>
    </row>
    <row r="441" spans="1:65" x14ac:dyDescent="0.25">
      <c r="A441" s="82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  <c r="AX441" s="82"/>
      <c r="AY441" s="82"/>
      <c r="AZ441" s="82"/>
      <c r="BA441" s="82"/>
      <c r="BB441" s="82"/>
      <c r="BC441" s="82"/>
      <c r="BD441" s="82"/>
      <c r="BE441" s="82"/>
      <c r="BF441" s="82"/>
      <c r="BG441" s="82"/>
      <c r="BH441" s="82"/>
      <c r="BI441" s="82"/>
      <c r="BJ441" s="82"/>
      <c r="BK441" s="82"/>
      <c r="BL441" s="82"/>
      <c r="BM441" s="82"/>
    </row>
    <row r="442" spans="1:65" x14ac:dyDescent="0.25">
      <c r="A442" s="82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  <c r="AX442" s="82"/>
      <c r="AY442" s="82"/>
      <c r="AZ442" s="82"/>
      <c r="BA442" s="82"/>
      <c r="BB442" s="82"/>
      <c r="BC442" s="82"/>
      <c r="BD442" s="82"/>
      <c r="BE442" s="82"/>
      <c r="BF442" s="82"/>
      <c r="BG442" s="82"/>
      <c r="BH442" s="82"/>
      <c r="BI442" s="82"/>
      <c r="BJ442" s="82"/>
      <c r="BK442" s="82"/>
      <c r="BL442" s="82"/>
      <c r="BM442" s="82"/>
    </row>
    <row r="443" spans="1:65" x14ac:dyDescent="0.25">
      <c r="A443" s="82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  <c r="AX443" s="82"/>
      <c r="AY443" s="82"/>
      <c r="AZ443" s="82"/>
      <c r="BA443" s="82"/>
      <c r="BB443" s="82"/>
      <c r="BC443" s="82"/>
      <c r="BD443" s="82"/>
      <c r="BE443" s="82"/>
      <c r="BF443" s="82"/>
      <c r="BG443" s="82"/>
      <c r="BH443" s="82"/>
      <c r="BI443" s="82"/>
      <c r="BJ443" s="82"/>
      <c r="BK443" s="82"/>
      <c r="BL443" s="82"/>
      <c r="BM443" s="82"/>
    </row>
    <row r="444" spans="1:65" x14ac:dyDescent="0.25">
      <c r="A444" s="82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  <c r="AX444" s="82"/>
      <c r="AY444" s="82"/>
      <c r="AZ444" s="82"/>
      <c r="BA444" s="82"/>
      <c r="BB444" s="82"/>
      <c r="BC444" s="82"/>
      <c r="BD444" s="82"/>
      <c r="BE444" s="82"/>
      <c r="BF444" s="82"/>
      <c r="BG444" s="82"/>
      <c r="BH444" s="82"/>
      <c r="BI444" s="82"/>
      <c r="BJ444" s="82"/>
      <c r="BK444" s="82"/>
      <c r="BL444" s="82"/>
      <c r="BM444" s="82"/>
    </row>
    <row r="445" spans="1:65" x14ac:dyDescent="0.25">
      <c r="A445" s="82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  <c r="AX445" s="82"/>
      <c r="AY445" s="82"/>
      <c r="AZ445" s="82"/>
      <c r="BA445" s="82"/>
      <c r="BB445" s="82"/>
      <c r="BC445" s="82"/>
      <c r="BD445" s="82"/>
      <c r="BE445" s="82"/>
      <c r="BF445" s="82"/>
      <c r="BG445" s="82"/>
      <c r="BH445" s="82"/>
      <c r="BI445" s="82"/>
      <c r="BJ445" s="82"/>
      <c r="BK445" s="82"/>
      <c r="BL445" s="82"/>
      <c r="BM445" s="82"/>
    </row>
    <row r="446" spans="1:65" x14ac:dyDescent="0.25">
      <c r="A446" s="82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  <c r="AX446" s="82"/>
      <c r="AY446" s="82"/>
      <c r="AZ446" s="82"/>
      <c r="BA446" s="82"/>
      <c r="BB446" s="82"/>
      <c r="BC446" s="82"/>
      <c r="BD446" s="82"/>
      <c r="BE446" s="82"/>
      <c r="BF446" s="82"/>
      <c r="BG446" s="82"/>
      <c r="BH446" s="82"/>
      <c r="BI446" s="82"/>
      <c r="BJ446" s="82"/>
      <c r="BK446" s="82"/>
      <c r="BL446" s="82"/>
      <c r="BM446" s="82"/>
    </row>
    <row r="447" spans="1:65" x14ac:dyDescent="0.25">
      <c r="A447" s="82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  <c r="AX447" s="82"/>
      <c r="AY447" s="82"/>
      <c r="AZ447" s="82"/>
      <c r="BA447" s="82"/>
      <c r="BB447" s="82"/>
      <c r="BC447" s="82"/>
      <c r="BD447" s="82"/>
      <c r="BE447" s="82"/>
      <c r="BF447" s="82"/>
      <c r="BG447" s="82"/>
      <c r="BH447" s="82"/>
      <c r="BI447" s="82"/>
      <c r="BJ447" s="82"/>
      <c r="BK447" s="82"/>
      <c r="BL447" s="82"/>
      <c r="BM447" s="82"/>
    </row>
    <row r="448" spans="1:65" x14ac:dyDescent="0.25">
      <c r="A448" s="82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  <c r="AX448" s="82"/>
      <c r="AY448" s="82"/>
      <c r="AZ448" s="82"/>
      <c r="BA448" s="82"/>
      <c r="BB448" s="82"/>
      <c r="BC448" s="82"/>
      <c r="BD448" s="82"/>
      <c r="BE448" s="82"/>
      <c r="BF448" s="82"/>
      <c r="BG448" s="82"/>
      <c r="BH448" s="82"/>
      <c r="BI448" s="82"/>
      <c r="BJ448" s="82"/>
      <c r="BK448" s="82"/>
      <c r="BL448" s="82"/>
      <c r="BM448" s="82"/>
    </row>
    <row r="449" spans="1:65" x14ac:dyDescent="0.25">
      <c r="A449" s="82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  <c r="AX449" s="82"/>
      <c r="AY449" s="82"/>
      <c r="AZ449" s="82"/>
      <c r="BA449" s="82"/>
      <c r="BB449" s="82"/>
      <c r="BC449" s="82"/>
      <c r="BD449" s="82"/>
      <c r="BE449" s="82"/>
      <c r="BF449" s="82"/>
      <c r="BG449" s="82"/>
      <c r="BH449" s="82"/>
      <c r="BI449" s="82"/>
      <c r="BJ449" s="82"/>
      <c r="BK449" s="82"/>
      <c r="BL449" s="82"/>
      <c r="BM449" s="82"/>
    </row>
    <row r="450" spans="1:65" x14ac:dyDescent="0.25">
      <c r="A450" s="82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  <c r="AX450" s="82"/>
      <c r="AY450" s="82"/>
      <c r="AZ450" s="82"/>
      <c r="BA450" s="82"/>
      <c r="BB450" s="82"/>
      <c r="BC450" s="82"/>
      <c r="BD450" s="82"/>
      <c r="BE450" s="82"/>
      <c r="BF450" s="82"/>
      <c r="BG450" s="82"/>
      <c r="BH450" s="82"/>
      <c r="BI450" s="82"/>
      <c r="BJ450" s="82"/>
      <c r="BK450" s="82"/>
      <c r="BL450" s="82"/>
      <c r="BM450" s="82"/>
    </row>
    <row r="451" spans="1:65" x14ac:dyDescent="0.25">
      <c r="A451" s="82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  <c r="AX451" s="82"/>
      <c r="AY451" s="82"/>
      <c r="AZ451" s="82"/>
      <c r="BA451" s="82"/>
      <c r="BB451" s="82"/>
      <c r="BC451" s="82"/>
      <c r="BD451" s="82"/>
      <c r="BE451" s="82"/>
      <c r="BF451" s="82"/>
      <c r="BG451" s="82"/>
      <c r="BH451" s="82"/>
      <c r="BI451" s="82"/>
      <c r="BJ451" s="82"/>
      <c r="BK451" s="82"/>
      <c r="BL451" s="82"/>
      <c r="BM451" s="82"/>
    </row>
    <row r="452" spans="1:65" x14ac:dyDescent="0.25">
      <c r="A452" s="82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  <c r="AX452" s="82"/>
      <c r="AY452" s="82"/>
      <c r="AZ452" s="82"/>
      <c r="BA452" s="82"/>
      <c r="BB452" s="82"/>
      <c r="BC452" s="82"/>
      <c r="BD452" s="82"/>
      <c r="BE452" s="82"/>
      <c r="BF452" s="82"/>
      <c r="BG452" s="82"/>
      <c r="BH452" s="82"/>
      <c r="BI452" s="82"/>
      <c r="BJ452" s="82"/>
      <c r="BK452" s="82"/>
      <c r="BL452" s="82"/>
      <c r="BM452" s="82"/>
    </row>
    <row r="453" spans="1:65" x14ac:dyDescent="0.25">
      <c r="A453" s="82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  <c r="AX453" s="82"/>
      <c r="AY453" s="82"/>
      <c r="AZ453" s="82"/>
      <c r="BA453" s="82"/>
      <c r="BB453" s="82"/>
      <c r="BC453" s="82"/>
      <c r="BD453" s="82"/>
      <c r="BE453" s="82"/>
      <c r="BF453" s="82"/>
      <c r="BG453" s="82"/>
      <c r="BH453" s="82"/>
      <c r="BI453" s="82"/>
      <c r="BJ453" s="82"/>
      <c r="BK453" s="82"/>
      <c r="BL453" s="82"/>
      <c r="BM453" s="82"/>
    </row>
    <row r="454" spans="1:65" x14ac:dyDescent="0.25">
      <c r="A454" s="82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  <c r="AX454" s="82"/>
      <c r="AY454" s="82"/>
      <c r="AZ454" s="82"/>
      <c r="BA454" s="82"/>
      <c r="BB454" s="82"/>
      <c r="BC454" s="82"/>
      <c r="BD454" s="82"/>
      <c r="BE454" s="82"/>
      <c r="BF454" s="82"/>
      <c r="BG454" s="82"/>
      <c r="BH454" s="82"/>
      <c r="BI454" s="82"/>
      <c r="BJ454" s="82"/>
      <c r="BK454" s="82"/>
      <c r="BL454" s="82"/>
      <c r="BM454" s="82"/>
    </row>
    <row r="455" spans="1:65" x14ac:dyDescent="0.25">
      <c r="A455" s="82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  <c r="AX455" s="82"/>
      <c r="AY455" s="82"/>
      <c r="AZ455" s="82"/>
      <c r="BA455" s="82"/>
      <c r="BB455" s="82"/>
      <c r="BC455" s="82"/>
      <c r="BD455" s="82"/>
      <c r="BE455" s="82"/>
      <c r="BF455" s="82"/>
      <c r="BG455" s="82"/>
      <c r="BH455" s="82"/>
      <c r="BI455" s="82"/>
      <c r="BJ455" s="82"/>
      <c r="BK455" s="82"/>
      <c r="BL455" s="82"/>
      <c r="BM455" s="82"/>
    </row>
    <row r="456" spans="1:65" x14ac:dyDescent="0.25">
      <c r="A456" s="82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  <c r="AX456" s="82"/>
      <c r="AY456" s="82"/>
      <c r="AZ456" s="82"/>
      <c r="BA456" s="82"/>
      <c r="BB456" s="82"/>
      <c r="BC456" s="82"/>
      <c r="BD456" s="82"/>
      <c r="BE456" s="82"/>
      <c r="BF456" s="82"/>
      <c r="BG456" s="82"/>
      <c r="BH456" s="82"/>
      <c r="BI456" s="82"/>
      <c r="BJ456" s="82"/>
      <c r="BK456" s="82"/>
      <c r="BL456" s="82"/>
      <c r="BM456" s="82"/>
    </row>
    <row r="457" spans="1:65" x14ac:dyDescent="0.25">
      <c r="A457" s="82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  <c r="AX457" s="82"/>
      <c r="AY457" s="82"/>
      <c r="AZ457" s="82"/>
      <c r="BA457" s="82"/>
      <c r="BB457" s="82"/>
      <c r="BC457" s="82"/>
      <c r="BD457" s="82"/>
      <c r="BE457" s="82"/>
      <c r="BF457" s="82"/>
      <c r="BG457" s="82"/>
      <c r="BH457" s="82"/>
      <c r="BI457" s="82"/>
      <c r="BJ457" s="82"/>
      <c r="BK457" s="82"/>
      <c r="BL457" s="82"/>
      <c r="BM457" s="82"/>
    </row>
    <row r="458" spans="1:65" x14ac:dyDescent="0.25">
      <c r="A458" s="82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  <c r="AX458" s="82"/>
      <c r="AY458" s="82"/>
      <c r="AZ458" s="82"/>
      <c r="BA458" s="82"/>
      <c r="BB458" s="82"/>
      <c r="BC458" s="82"/>
      <c r="BD458" s="82"/>
      <c r="BE458" s="82"/>
      <c r="BF458" s="82"/>
      <c r="BG458" s="82"/>
      <c r="BH458" s="82"/>
      <c r="BI458" s="82"/>
      <c r="BJ458" s="82"/>
      <c r="BK458" s="82"/>
      <c r="BL458" s="82"/>
      <c r="BM458" s="82"/>
    </row>
    <row r="459" spans="1:65" x14ac:dyDescent="0.25">
      <c r="A459" s="82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  <c r="AX459" s="82"/>
      <c r="AY459" s="82"/>
      <c r="AZ459" s="82"/>
      <c r="BA459" s="82"/>
      <c r="BB459" s="82"/>
      <c r="BC459" s="82"/>
      <c r="BD459" s="82"/>
      <c r="BE459" s="82"/>
      <c r="BF459" s="82"/>
      <c r="BG459" s="82"/>
      <c r="BH459" s="82"/>
      <c r="BI459" s="82"/>
      <c r="BJ459" s="82"/>
      <c r="BK459" s="82"/>
      <c r="BL459" s="82"/>
      <c r="BM459" s="82"/>
    </row>
    <row r="460" spans="1:65" x14ac:dyDescent="0.25">
      <c r="A460" s="82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  <c r="AX460" s="82"/>
      <c r="AY460" s="82"/>
      <c r="AZ460" s="82"/>
      <c r="BA460" s="82"/>
      <c r="BB460" s="82"/>
      <c r="BC460" s="82"/>
      <c r="BD460" s="82"/>
      <c r="BE460" s="82"/>
      <c r="BF460" s="82"/>
      <c r="BG460" s="82"/>
      <c r="BH460" s="82"/>
      <c r="BI460" s="82"/>
      <c r="BJ460" s="82"/>
      <c r="BK460" s="82"/>
      <c r="BL460" s="82"/>
      <c r="BM460" s="82"/>
    </row>
    <row r="461" spans="1:65" x14ac:dyDescent="0.25">
      <c r="A461" s="82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  <c r="AX461" s="82"/>
      <c r="AY461" s="82"/>
      <c r="AZ461" s="82"/>
      <c r="BA461" s="82"/>
      <c r="BB461" s="82"/>
      <c r="BC461" s="82"/>
      <c r="BD461" s="82"/>
      <c r="BE461" s="82"/>
      <c r="BF461" s="82"/>
      <c r="BG461" s="82"/>
      <c r="BH461" s="82"/>
      <c r="BI461" s="82"/>
      <c r="BJ461" s="82"/>
      <c r="BK461" s="82"/>
      <c r="BL461" s="82"/>
      <c r="BM461" s="82"/>
    </row>
    <row r="462" spans="1:65" x14ac:dyDescent="0.25">
      <c r="A462" s="82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  <c r="AX462" s="82"/>
      <c r="AY462" s="82"/>
      <c r="AZ462" s="82"/>
      <c r="BA462" s="82"/>
      <c r="BB462" s="82"/>
      <c r="BC462" s="82"/>
      <c r="BD462" s="82"/>
      <c r="BE462" s="82"/>
      <c r="BF462" s="82"/>
      <c r="BG462" s="82"/>
      <c r="BH462" s="82"/>
      <c r="BI462" s="82"/>
      <c r="BJ462" s="82"/>
      <c r="BK462" s="82"/>
      <c r="BL462" s="82"/>
      <c r="BM462" s="82"/>
    </row>
    <row r="463" spans="1:65" x14ac:dyDescent="0.25">
      <c r="A463" s="82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  <c r="AX463" s="82"/>
      <c r="AY463" s="82"/>
      <c r="AZ463" s="82"/>
      <c r="BA463" s="82"/>
      <c r="BB463" s="82"/>
      <c r="BC463" s="82"/>
      <c r="BD463" s="82"/>
      <c r="BE463" s="82"/>
      <c r="BF463" s="82"/>
      <c r="BG463" s="82"/>
      <c r="BH463" s="82"/>
      <c r="BI463" s="82"/>
      <c r="BJ463" s="82"/>
      <c r="BK463" s="82"/>
      <c r="BL463" s="82"/>
      <c r="BM463" s="82"/>
    </row>
    <row r="464" spans="1:65" x14ac:dyDescent="0.25">
      <c r="A464" s="82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  <c r="AX464" s="82"/>
      <c r="AY464" s="82"/>
      <c r="AZ464" s="82"/>
      <c r="BA464" s="82"/>
      <c r="BB464" s="82"/>
      <c r="BC464" s="82"/>
      <c r="BD464" s="82"/>
      <c r="BE464" s="82"/>
      <c r="BF464" s="82"/>
      <c r="BG464" s="82"/>
      <c r="BH464" s="82"/>
      <c r="BI464" s="82"/>
      <c r="BJ464" s="82"/>
      <c r="BK464" s="82"/>
      <c r="BL464" s="82"/>
      <c r="BM464" s="82"/>
    </row>
    <row r="465" spans="1:65" x14ac:dyDescent="0.25">
      <c r="A465" s="82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  <c r="AX465" s="82"/>
      <c r="AY465" s="82"/>
      <c r="AZ465" s="82"/>
      <c r="BA465" s="82"/>
      <c r="BB465" s="82"/>
      <c r="BC465" s="82"/>
      <c r="BD465" s="82"/>
      <c r="BE465" s="82"/>
      <c r="BF465" s="82"/>
      <c r="BG465" s="82"/>
      <c r="BH465" s="82"/>
      <c r="BI465" s="82"/>
      <c r="BJ465" s="82"/>
      <c r="BK465" s="82"/>
      <c r="BL465" s="82"/>
      <c r="BM465" s="82"/>
    </row>
    <row r="466" spans="1:65" x14ac:dyDescent="0.25">
      <c r="A466" s="82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  <c r="AX466" s="82"/>
      <c r="AY466" s="82"/>
      <c r="AZ466" s="82"/>
      <c r="BA466" s="82"/>
      <c r="BB466" s="82"/>
      <c r="BC466" s="82"/>
      <c r="BD466" s="82"/>
      <c r="BE466" s="82"/>
      <c r="BF466" s="82"/>
      <c r="BG466" s="82"/>
      <c r="BH466" s="82"/>
      <c r="BI466" s="82"/>
      <c r="BJ466" s="82"/>
      <c r="BK466" s="82"/>
      <c r="BL466" s="82"/>
      <c r="BM466" s="82"/>
    </row>
    <row r="467" spans="1:65" x14ac:dyDescent="0.25">
      <c r="A467" s="82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  <c r="AX467" s="82"/>
      <c r="AY467" s="82"/>
      <c r="AZ467" s="82"/>
      <c r="BA467" s="82"/>
      <c r="BB467" s="82"/>
      <c r="BC467" s="82"/>
      <c r="BD467" s="82"/>
      <c r="BE467" s="82"/>
      <c r="BF467" s="82"/>
      <c r="BG467" s="82"/>
      <c r="BH467" s="82"/>
      <c r="BI467" s="82"/>
      <c r="BJ467" s="82"/>
      <c r="BK467" s="82"/>
      <c r="BL467" s="82"/>
      <c r="BM467" s="82"/>
    </row>
    <row r="468" spans="1:65" x14ac:dyDescent="0.25">
      <c r="A468" s="82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  <c r="AX468" s="82"/>
      <c r="AY468" s="82"/>
      <c r="AZ468" s="82"/>
      <c r="BA468" s="82"/>
      <c r="BB468" s="82"/>
      <c r="BC468" s="82"/>
      <c r="BD468" s="82"/>
      <c r="BE468" s="82"/>
      <c r="BF468" s="82"/>
      <c r="BG468" s="82"/>
      <c r="BH468" s="82"/>
      <c r="BI468" s="82"/>
      <c r="BJ468" s="82"/>
      <c r="BK468" s="82"/>
      <c r="BL468" s="82"/>
      <c r="BM468" s="82"/>
    </row>
    <row r="469" spans="1:65" x14ac:dyDescent="0.25">
      <c r="A469" s="82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  <c r="AX469" s="82"/>
      <c r="AY469" s="82"/>
      <c r="AZ469" s="82"/>
      <c r="BA469" s="82"/>
      <c r="BB469" s="82"/>
      <c r="BC469" s="82"/>
      <c r="BD469" s="82"/>
      <c r="BE469" s="82"/>
      <c r="BF469" s="82"/>
      <c r="BG469" s="82"/>
      <c r="BH469" s="82"/>
      <c r="BI469" s="82"/>
      <c r="BJ469" s="82"/>
      <c r="BK469" s="82"/>
      <c r="BL469" s="82"/>
      <c r="BM469" s="82"/>
    </row>
    <row r="470" spans="1:65" x14ac:dyDescent="0.25">
      <c r="A470" s="82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  <c r="AX470" s="82"/>
      <c r="AY470" s="82"/>
      <c r="AZ470" s="82"/>
      <c r="BA470" s="82"/>
      <c r="BB470" s="82"/>
      <c r="BC470" s="82"/>
      <c r="BD470" s="82"/>
      <c r="BE470" s="82"/>
      <c r="BF470" s="82"/>
      <c r="BG470" s="82"/>
      <c r="BH470" s="82"/>
      <c r="BI470" s="82"/>
      <c r="BJ470" s="82"/>
      <c r="BK470" s="82"/>
      <c r="BL470" s="82"/>
      <c r="BM470" s="82"/>
    </row>
    <row r="471" spans="1:65" x14ac:dyDescent="0.25">
      <c r="A471" s="82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  <c r="AX471" s="82"/>
      <c r="AY471" s="82"/>
      <c r="AZ471" s="82"/>
      <c r="BA471" s="82"/>
      <c r="BB471" s="82"/>
      <c r="BC471" s="82"/>
      <c r="BD471" s="82"/>
      <c r="BE471" s="82"/>
      <c r="BF471" s="82"/>
      <c r="BG471" s="82"/>
      <c r="BH471" s="82"/>
      <c r="BI471" s="82"/>
      <c r="BJ471" s="82"/>
      <c r="BK471" s="82"/>
      <c r="BL471" s="82"/>
      <c r="BM471" s="82"/>
    </row>
    <row r="472" spans="1:65" x14ac:dyDescent="0.25">
      <c r="A472" s="82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  <c r="AX472" s="82"/>
      <c r="AY472" s="82"/>
      <c r="AZ472" s="82"/>
      <c r="BA472" s="82"/>
      <c r="BB472" s="82"/>
      <c r="BC472" s="82"/>
      <c r="BD472" s="82"/>
      <c r="BE472" s="82"/>
      <c r="BF472" s="82"/>
      <c r="BG472" s="82"/>
      <c r="BH472" s="82"/>
      <c r="BI472" s="82"/>
      <c r="BJ472" s="82"/>
      <c r="BK472" s="82"/>
      <c r="BL472" s="82"/>
      <c r="BM472" s="82"/>
    </row>
    <row r="473" spans="1:65" x14ac:dyDescent="0.25">
      <c r="A473" s="82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  <c r="AX473" s="82"/>
      <c r="AY473" s="82"/>
      <c r="AZ473" s="82"/>
      <c r="BA473" s="82"/>
      <c r="BB473" s="82"/>
      <c r="BC473" s="82"/>
      <c r="BD473" s="82"/>
      <c r="BE473" s="82"/>
      <c r="BF473" s="82"/>
      <c r="BG473" s="82"/>
      <c r="BH473" s="82"/>
      <c r="BI473" s="82"/>
      <c r="BJ473" s="82"/>
      <c r="BK473" s="82"/>
      <c r="BL473" s="82"/>
      <c r="BM473" s="82"/>
    </row>
    <row r="474" spans="1:65" x14ac:dyDescent="0.25">
      <c r="A474" s="82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  <c r="AX474" s="82"/>
      <c r="AY474" s="82"/>
      <c r="AZ474" s="82"/>
      <c r="BA474" s="82"/>
      <c r="BB474" s="82"/>
      <c r="BC474" s="82"/>
      <c r="BD474" s="82"/>
      <c r="BE474" s="82"/>
      <c r="BF474" s="82"/>
      <c r="BG474" s="82"/>
      <c r="BH474" s="82"/>
      <c r="BI474" s="82"/>
      <c r="BJ474" s="82"/>
      <c r="BK474" s="82"/>
      <c r="BL474" s="82"/>
      <c r="BM474" s="82"/>
    </row>
    <row r="475" spans="1:65" x14ac:dyDescent="0.25">
      <c r="A475" s="82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  <c r="AX475" s="82"/>
      <c r="AY475" s="82"/>
      <c r="AZ475" s="82"/>
      <c r="BA475" s="82"/>
      <c r="BB475" s="82"/>
      <c r="BC475" s="82"/>
      <c r="BD475" s="82"/>
      <c r="BE475" s="82"/>
      <c r="BF475" s="82"/>
      <c r="BG475" s="82"/>
      <c r="BH475" s="82"/>
      <c r="BI475" s="82"/>
      <c r="BJ475" s="82"/>
      <c r="BK475" s="82"/>
      <c r="BL475" s="82"/>
      <c r="BM475" s="82"/>
    </row>
    <row r="476" spans="1:65" x14ac:dyDescent="0.25">
      <c r="A476" s="82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  <c r="AX476" s="82"/>
      <c r="AY476" s="82"/>
      <c r="AZ476" s="82"/>
      <c r="BA476" s="82"/>
      <c r="BB476" s="82"/>
      <c r="BC476" s="82"/>
      <c r="BD476" s="82"/>
      <c r="BE476" s="82"/>
      <c r="BF476" s="82"/>
      <c r="BG476" s="82"/>
      <c r="BH476" s="82"/>
      <c r="BI476" s="82"/>
      <c r="BJ476" s="82"/>
      <c r="BK476" s="82"/>
      <c r="BL476" s="82"/>
      <c r="BM476" s="82"/>
    </row>
    <row r="477" spans="1:65" x14ac:dyDescent="0.25">
      <c r="A477" s="82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  <c r="AX477" s="82"/>
      <c r="AY477" s="82"/>
      <c r="AZ477" s="82"/>
      <c r="BA477" s="82"/>
      <c r="BB477" s="82"/>
      <c r="BC477" s="82"/>
      <c r="BD477" s="82"/>
      <c r="BE477" s="82"/>
      <c r="BF477" s="82"/>
      <c r="BG477" s="82"/>
      <c r="BH477" s="82"/>
      <c r="BI477" s="82"/>
      <c r="BJ477" s="82"/>
      <c r="BK477" s="82"/>
      <c r="BL477" s="82"/>
      <c r="BM477" s="82"/>
    </row>
    <row r="478" spans="1:65" x14ac:dyDescent="0.25">
      <c r="A478" s="82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  <c r="AX478" s="82"/>
      <c r="AY478" s="82"/>
      <c r="AZ478" s="82"/>
      <c r="BA478" s="82"/>
      <c r="BB478" s="82"/>
      <c r="BC478" s="82"/>
      <c r="BD478" s="82"/>
      <c r="BE478" s="82"/>
      <c r="BF478" s="82"/>
      <c r="BG478" s="82"/>
      <c r="BH478" s="82"/>
      <c r="BI478" s="82"/>
      <c r="BJ478" s="82"/>
      <c r="BK478" s="82"/>
      <c r="BL478" s="82"/>
      <c r="BM478" s="82"/>
    </row>
    <row r="479" spans="1:65" x14ac:dyDescent="0.25">
      <c r="A479" s="82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  <c r="AX479" s="82"/>
      <c r="AY479" s="82"/>
      <c r="AZ479" s="82"/>
      <c r="BA479" s="82"/>
      <c r="BB479" s="82"/>
      <c r="BC479" s="82"/>
      <c r="BD479" s="82"/>
      <c r="BE479" s="82"/>
      <c r="BF479" s="82"/>
      <c r="BG479" s="82"/>
      <c r="BH479" s="82"/>
      <c r="BI479" s="82"/>
      <c r="BJ479" s="82"/>
      <c r="BK479" s="82"/>
      <c r="BL479" s="82"/>
      <c r="BM479" s="82"/>
    </row>
    <row r="480" spans="1:65" x14ac:dyDescent="0.25">
      <c r="A480" s="82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  <c r="AX480" s="82"/>
      <c r="AY480" s="82"/>
      <c r="AZ480" s="82"/>
      <c r="BA480" s="82"/>
      <c r="BB480" s="82"/>
      <c r="BC480" s="82"/>
      <c r="BD480" s="82"/>
      <c r="BE480" s="82"/>
      <c r="BF480" s="82"/>
      <c r="BG480" s="82"/>
      <c r="BH480" s="82"/>
      <c r="BI480" s="82"/>
      <c r="BJ480" s="82"/>
      <c r="BK480" s="82"/>
      <c r="BL480" s="82"/>
      <c r="BM480" s="82"/>
    </row>
    <row r="481" spans="1:65" x14ac:dyDescent="0.25">
      <c r="A481" s="82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  <c r="AX481" s="82"/>
      <c r="AY481" s="82"/>
      <c r="AZ481" s="82"/>
      <c r="BA481" s="82"/>
      <c r="BB481" s="82"/>
      <c r="BC481" s="82"/>
      <c r="BD481" s="82"/>
      <c r="BE481" s="82"/>
      <c r="BF481" s="82"/>
      <c r="BG481" s="82"/>
      <c r="BH481" s="82"/>
      <c r="BI481" s="82"/>
      <c r="BJ481" s="82"/>
      <c r="BK481" s="82"/>
      <c r="BL481" s="82"/>
      <c r="BM481" s="82"/>
    </row>
    <row r="482" spans="1:65" x14ac:dyDescent="0.25">
      <c r="A482" s="82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  <c r="AX482" s="82"/>
      <c r="AY482" s="82"/>
      <c r="AZ482" s="82"/>
      <c r="BA482" s="82"/>
      <c r="BB482" s="82"/>
      <c r="BC482" s="82"/>
      <c r="BD482" s="82"/>
      <c r="BE482" s="82"/>
      <c r="BF482" s="82"/>
      <c r="BG482" s="82"/>
      <c r="BH482" s="82"/>
      <c r="BI482" s="82"/>
      <c r="BJ482" s="82"/>
      <c r="BK482" s="82"/>
      <c r="BL482" s="82"/>
      <c r="BM482" s="82"/>
    </row>
    <row r="483" spans="1:65" x14ac:dyDescent="0.25">
      <c r="A483" s="82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  <c r="AX483" s="82"/>
      <c r="AY483" s="82"/>
      <c r="AZ483" s="82"/>
      <c r="BA483" s="82"/>
      <c r="BB483" s="82"/>
      <c r="BC483" s="82"/>
      <c r="BD483" s="82"/>
      <c r="BE483" s="82"/>
      <c r="BF483" s="82"/>
      <c r="BG483" s="82"/>
      <c r="BH483" s="82"/>
      <c r="BI483" s="82"/>
      <c r="BJ483" s="82"/>
      <c r="BK483" s="82"/>
      <c r="BL483" s="82"/>
      <c r="BM483" s="82"/>
    </row>
    <row r="484" spans="1:65" x14ac:dyDescent="0.25">
      <c r="A484" s="82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  <c r="AX484" s="82"/>
      <c r="AY484" s="82"/>
      <c r="AZ484" s="82"/>
      <c r="BA484" s="82"/>
      <c r="BB484" s="82"/>
      <c r="BC484" s="82"/>
      <c r="BD484" s="82"/>
      <c r="BE484" s="82"/>
      <c r="BF484" s="82"/>
      <c r="BG484" s="82"/>
      <c r="BH484" s="82"/>
      <c r="BI484" s="82"/>
      <c r="BJ484" s="82"/>
      <c r="BK484" s="82"/>
      <c r="BL484" s="82"/>
      <c r="BM484" s="82"/>
    </row>
    <row r="485" spans="1:65" x14ac:dyDescent="0.25">
      <c r="A485" s="82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  <c r="AX485" s="82"/>
      <c r="AY485" s="82"/>
      <c r="AZ485" s="82"/>
      <c r="BA485" s="82"/>
      <c r="BB485" s="82"/>
      <c r="BC485" s="82"/>
      <c r="BD485" s="82"/>
      <c r="BE485" s="82"/>
      <c r="BF485" s="82"/>
      <c r="BG485" s="82"/>
      <c r="BH485" s="82"/>
      <c r="BI485" s="82"/>
      <c r="BJ485" s="82"/>
      <c r="BK485" s="82"/>
      <c r="BL485" s="82"/>
      <c r="BM485" s="82"/>
    </row>
    <row r="486" spans="1:65" x14ac:dyDescent="0.25">
      <c r="A486" s="82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  <c r="AX486" s="82"/>
      <c r="AY486" s="82"/>
      <c r="AZ486" s="82"/>
      <c r="BA486" s="82"/>
      <c r="BB486" s="82"/>
      <c r="BC486" s="82"/>
      <c r="BD486" s="82"/>
      <c r="BE486" s="82"/>
      <c r="BF486" s="82"/>
      <c r="BG486" s="82"/>
      <c r="BH486" s="82"/>
      <c r="BI486" s="82"/>
      <c r="BJ486" s="82"/>
      <c r="BK486" s="82"/>
      <c r="BL486" s="82"/>
      <c r="BM486" s="82"/>
    </row>
    <row r="487" spans="1:65" x14ac:dyDescent="0.25">
      <c r="A487" s="82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  <c r="AX487" s="82"/>
      <c r="AY487" s="82"/>
      <c r="AZ487" s="82"/>
      <c r="BA487" s="82"/>
      <c r="BB487" s="82"/>
      <c r="BC487" s="82"/>
      <c r="BD487" s="82"/>
      <c r="BE487" s="82"/>
      <c r="BF487" s="82"/>
      <c r="BG487" s="82"/>
      <c r="BH487" s="82"/>
      <c r="BI487" s="82"/>
      <c r="BJ487" s="82"/>
      <c r="BK487" s="82"/>
      <c r="BL487" s="82"/>
      <c r="BM487" s="82"/>
    </row>
    <row r="488" spans="1:65" x14ac:dyDescent="0.25">
      <c r="A488" s="82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  <c r="AX488" s="82"/>
      <c r="AY488" s="82"/>
      <c r="AZ488" s="82"/>
      <c r="BA488" s="82"/>
      <c r="BB488" s="82"/>
      <c r="BC488" s="82"/>
      <c r="BD488" s="82"/>
      <c r="BE488" s="82"/>
      <c r="BF488" s="82"/>
      <c r="BG488" s="82"/>
      <c r="BH488" s="82"/>
      <c r="BI488" s="82"/>
      <c r="BJ488" s="82"/>
      <c r="BK488" s="82"/>
      <c r="BL488" s="82"/>
      <c r="BM488" s="82"/>
    </row>
    <row r="489" spans="1:65" x14ac:dyDescent="0.25">
      <c r="A489" s="82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  <c r="AX489" s="82"/>
      <c r="AY489" s="82"/>
      <c r="AZ489" s="82"/>
      <c r="BA489" s="82"/>
      <c r="BB489" s="82"/>
      <c r="BC489" s="82"/>
      <c r="BD489" s="82"/>
      <c r="BE489" s="82"/>
      <c r="BF489" s="82"/>
      <c r="BG489" s="82"/>
      <c r="BH489" s="82"/>
      <c r="BI489" s="82"/>
      <c r="BJ489" s="82"/>
      <c r="BK489" s="82"/>
      <c r="BL489" s="82"/>
      <c r="BM489" s="82"/>
    </row>
    <row r="490" spans="1:65" x14ac:dyDescent="0.25">
      <c r="A490" s="82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  <c r="AX490" s="82"/>
      <c r="AY490" s="82"/>
      <c r="AZ490" s="82"/>
      <c r="BA490" s="82"/>
      <c r="BB490" s="82"/>
      <c r="BC490" s="82"/>
      <c r="BD490" s="82"/>
      <c r="BE490" s="82"/>
      <c r="BF490" s="82"/>
      <c r="BG490" s="82"/>
      <c r="BH490" s="82"/>
      <c r="BI490" s="82"/>
      <c r="BJ490" s="82"/>
      <c r="BK490" s="82"/>
      <c r="BL490" s="82"/>
      <c r="BM490" s="82"/>
    </row>
    <row r="491" spans="1:65" x14ac:dyDescent="0.25">
      <c r="A491" s="82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  <c r="AX491" s="82"/>
      <c r="AY491" s="82"/>
      <c r="AZ491" s="82"/>
      <c r="BA491" s="82"/>
      <c r="BB491" s="82"/>
      <c r="BC491" s="82"/>
      <c r="BD491" s="82"/>
      <c r="BE491" s="82"/>
      <c r="BF491" s="82"/>
      <c r="BG491" s="82"/>
      <c r="BH491" s="82"/>
      <c r="BI491" s="82"/>
      <c r="BJ491" s="82"/>
      <c r="BK491" s="82"/>
      <c r="BL491" s="82"/>
      <c r="BM491" s="82"/>
    </row>
    <row r="492" spans="1:65" x14ac:dyDescent="0.25">
      <c r="A492" s="82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  <c r="AX492" s="82"/>
      <c r="AY492" s="82"/>
      <c r="AZ492" s="82"/>
      <c r="BA492" s="82"/>
      <c r="BB492" s="82"/>
      <c r="BC492" s="82"/>
      <c r="BD492" s="82"/>
      <c r="BE492" s="82"/>
      <c r="BF492" s="82"/>
      <c r="BG492" s="82"/>
      <c r="BH492" s="82"/>
      <c r="BI492" s="82"/>
      <c r="BJ492" s="82"/>
      <c r="BK492" s="82"/>
      <c r="BL492" s="82"/>
      <c r="BM492" s="82"/>
    </row>
    <row r="493" spans="1:65" x14ac:dyDescent="0.25">
      <c r="A493" s="82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  <c r="AX493" s="82"/>
      <c r="AY493" s="82"/>
      <c r="AZ493" s="82"/>
      <c r="BA493" s="82"/>
      <c r="BB493" s="82"/>
      <c r="BC493" s="82"/>
      <c r="BD493" s="82"/>
      <c r="BE493" s="82"/>
      <c r="BF493" s="82"/>
      <c r="BG493" s="82"/>
      <c r="BH493" s="82"/>
      <c r="BI493" s="82"/>
      <c r="BJ493" s="82"/>
      <c r="BK493" s="82"/>
      <c r="BL493" s="82"/>
      <c r="BM493" s="82"/>
    </row>
    <row r="494" spans="1:65" x14ac:dyDescent="0.25">
      <c r="A494" s="82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  <c r="AX494" s="82"/>
      <c r="AY494" s="82"/>
      <c r="AZ494" s="82"/>
      <c r="BA494" s="82"/>
      <c r="BB494" s="82"/>
      <c r="BC494" s="82"/>
      <c r="BD494" s="82"/>
      <c r="BE494" s="82"/>
      <c r="BF494" s="82"/>
      <c r="BG494" s="82"/>
      <c r="BH494" s="82"/>
      <c r="BI494" s="82"/>
      <c r="BJ494" s="82"/>
      <c r="BK494" s="82"/>
      <c r="BL494" s="82"/>
      <c r="BM494" s="82"/>
    </row>
    <row r="495" spans="1:65" x14ac:dyDescent="0.25">
      <c r="A495" s="82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  <c r="AX495" s="82"/>
      <c r="AY495" s="82"/>
      <c r="AZ495" s="82"/>
      <c r="BA495" s="82"/>
      <c r="BB495" s="82"/>
      <c r="BC495" s="82"/>
      <c r="BD495" s="82"/>
      <c r="BE495" s="82"/>
      <c r="BF495" s="82"/>
      <c r="BG495" s="82"/>
      <c r="BH495" s="82"/>
      <c r="BI495" s="82"/>
      <c r="BJ495" s="82"/>
      <c r="BK495" s="82"/>
      <c r="BL495" s="82"/>
      <c r="BM495" s="82"/>
    </row>
    <row r="496" spans="1:65" x14ac:dyDescent="0.25">
      <c r="A496" s="82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  <c r="AX496" s="82"/>
      <c r="AY496" s="82"/>
      <c r="AZ496" s="82"/>
      <c r="BA496" s="82"/>
      <c r="BB496" s="82"/>
      <c r="BC496" s="82"/>
      <c r="BD496" s="82"/>
      <c r="BE496" s="82"/>
      <c r="BF496" s="82"/>
      <c r="BG496" s="82"/>
      <c r="BH496" s="82"/>
      <c r="BI496" s="82"/>
      <c r="BJ496" s="82"/>
      <c r="BK496" s="82"/>
      <c r="BL496" s="82"/>
      <c r="BM496" s="82"/>
    </row>
    <row r="497" spans="1:65" x14ac:dyDescent="0.25">
      <c r="A497" s="82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  <c r="AX497" s="82"/>
      <c r="AY497" s="82"/>
      <c r="AZ497" s="82"/>
      <c r="BA497" s="82"/>
      <c r="BB497" s="82"/>
      <c r="BC497" s="82"/>
      <c r="BD497" s="82"/>
      <c r="BE497" s="82"/>
      <c r="BF497" s="82"/>
      <c r="BG497" s="82"/>
      <c r="BH497" s="82"/>
      <c r="BI497" s="82"/>
      <c r="BJ497" s="82"/>
      <c r="BK497" s="82"/>
      <c r="BL497" s="82"/>
      <c r="BM497" s="82"/>
    </row>
    <row r="498" spans="1:65" x14ac:dyDescent="0.25">
      <c r="A498" s="82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  <c r="AX498" s="82"/>
      <c r="AY498" s="82"/>
      <c r="AZ498" s="82"/>
      <c r="BA498" s="82"/>
      <c r="BB498" s="82"/>
      <c r="BC498" s="82"/>
      <c r="BD498" s="82"/>
      <c r="BE498" s="82"/>
      <c r="BF498" s="82"/>
      <c r="BG498" s="82"/>
      <c r="BH498" s="82"/>
      <c r="BI498" s="82"/>
      <c r="BJ498" s="82"/>
      <c r="BK498" s="82"/>
      <c r="BL498" s="82"/>
      <c r="BM498" s="82"/>
    </row>
    <row r="499" spans="1:65" x14ac:dyDescent="0.25">
      <c r="A499" s="82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  <c r="AX499" s="82"/>
      <c r="AY499" s="82"/>
      <c r="AZ499" s="82"/>
      <c r="BA499" s="82"/>
      <c r="BB499" s="82"/>
      <c r="BC499" s="82"/>
      <c r="BD499" s="82"/>
      <c r="BE499" s="82"/>
      <c r="BF499" s="82"/>
      <c r="BG499" s="82"/>
      <c r="BH499" s="82"/>
      <c r="BI499" s="82"/>
      <c r="BJ499" s="82"/>
      <c r="BK499" s="82"/>
      <c r="BL499" s="82"/>
      <c r="BM499" s="82"/>
    </row>
    <row r="500" spans="1:65" x14ac:dyDescent="0.25">
      <c r="A500" s="82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  <c r="AX500" s="82"/>
      <c r="AY500" s="82"/>
      <c r="AZ500" s="82"/>
      <c r="BA500" s="82"/>
      <c r="BB500" s="82"/>
      <c r="BC500" s="82"/>
      <c r="BD500" s="82"/>
      <c r="BE500" s="82"/>
      <c r="BF500" s="82"/>
      <c r="BG500" s="82"/>
      <c r="BH500" s="82"/>
      <c r="BI500" s="82"/>
      <c r="BJ500" s="82"/>
      <c r="BK500" s="82"/>
      <c r="BL500" s="82"/>
      <c r="BM500" s="82"/>
    </row>
    <row r="501" spans="1:65" x14ac:dyDescent="0.25">
      <c r="A501" s="82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  <c r="AX501" s="82"/>
      <c r="AY501" s="82"/>
      <c r="AZ501" s="82"/>
      <c r="BA501" s="82"/>
      <c r="BB501" s="82"/>
      <c r="BC501" s="82"/>
      <c r="BD501" s="82"/>
      <c r="BE501" s="82"/>
      <c r="BF501" s="82"/>
      <c r="BG501" s="82"/>
      <c r="BH501" s="82"/>
      <c r="BI501" s="82"/>
      <c r="BJ501" s="82"/>
      <c r="BK501" s="82"/>
      <c r="BL501" s="82"/>
      <c r="BM501" s="82"/>
    </row>
    <row r="502" spans="1:65" x14ac:dyDescent="0.25">
      <c r="A502" s="82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  <c r="AX502" s="82"/>
      <c r="AY502" s="82"/>
      <c r="AZ502" s="82"/>
      <c r="BA502" s="82"/>
      <c r="BB502" s="82"/>
      <c r="BC502" s="82"/>
      <c r="BD502" s="82"/>
      <c r="BE502" s="82"/>
      <c r="BF502" s="82"/>
      <c r="BG502" s="82"/>
      <c r="BH502" s="82"/>
      <c r="BI502" s="82"/>
      <c r="BJ502" s="82"/>
      <c r="BK502" s="82"/>
      <c r="BL502" s="82"/>
      <c r="BM502" s="82"/>
    </row>
    <row r="503" spans="1:65" x14ac:dyDescent="0.25">
      <c r="A503" s="82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  <c r="AX503" s="82"/>
      <c r="AY503" s="82"/>
      <c r="AZ503" s="82"/>
      <c r="BA503" s="82"/>
      <c r="BB503" s="82"/>
      <c r="BC503" s="82"/>
      <c r="BD503" s="82"/>
      <c r="BE503" s="82"/>
      <c r="BF503" s="82"/>
      <c r="BG503" s="82"/>
      <c r="BH503" s="82"/>
      <c r="BI503" s="82"/>
      <c r="BJ503" s="82"/>
      <c r="BK503" s="82"/>
      <c r="BL503" s="82"/>
      <c r="BM503" s="82"/>
    </row>
    <row r="504" spans="1:65" x14ac:dyDescent="0.25">
      <c r="A504" s="82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  <c r="AX504" s="82"/>
      <c r="AY504" s="82"/>
      <c r="AZ504" s="82"/>
      <c r="BA504" s="82"/>
      <c r="BB504" s="82"/>
      <c r="BC504" s="82"/>
      <c r="BD504" s="82"/>
      <c r="BE504" s="82"/>
      <c r="BF504" s="82"/>
      <c r="BG504" s="82"/>
      <c r="BH504" s="82"/>
      <c r="BI504" s="82"/>
      <c r="BJ504" s="82"/>
      <c r="BK504" s="82"/>
      <c r="BL504" s="82"/>
      <c r="BM504" s="82"/>
    </row>
    <row r="505" spans="1:65" x14ac:dyDescent="0.25">
      <c r="A505" s="82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  <c r="AX505" s="82"/>
      <c r="AY505" s="82"/>
      <c r="AZ505" s="82"/>
      <c r="BA505" s="82"/>
      <c r="BB505" s="82"/>
      <c r="BC505" s="82"/>
      <c r="BD505" s="82"/>
      <c r="BE505" s="82"/>
      <c r="BF505" s="82"/>
      <c r="BG505" s="82"/>
      <c r="BH505" s="82"/>
      <c r="BI505" s="82"/>
      <c r="BJ505" s="82"/>
      <c r="BK505" s="82"/>
      <c r="BL505" s="82"/>
      <c r="BM505" s="82"/>
    </row>
  </sheetData>
  <mergeCells count="15">
    <mergeCell ref="A23:AS24"/>
    <mergeCell ref="Y4:AE5"/>
    <mergeCell ref="R4:X5"/>
    <mergeCell ref="K4:Q5"/>
    <mergeCell ref="A1:I2"/>
    <mergeCell ref="A3:I3"/>
    <mergeCell ref="C5:E5"/>
    <mergeCell ref="C4:E4"/>
    <mergeCell ref="K1:AS3"/>
    <mergeCell ref="BA5:BG5"/>
    <mergeCell ref="AT4:AZ4"/>
    <mergeCell ref="BA4:BG4"/>
    <mergeCell ref="AM4:AS5"/>
    <mergeCell ref="AF4:AL5"/>
    <mergeCell ref="AT5:AZ5"/>
  </mergeCells>
  <phoneticPr fontId="15" type="noConversion"/>
  <conditionalFormatting sqref="H8 H10 G9">
    <cfRule type="dataBar" priority="504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{BCBC3163-31B5-4D32-850A-B122219B0D6C}</x14:id>
        </ext>
      </extLst>
    </cfRule>
  </conditionalFormatting>
  <conditionalFormatting sqref="K6:BG7">
    <cfRule type="expression" dxfId="243" priority="506">
      <formula>K$6=TODAY()</formula>
    </cfRule>
  </conditionalFormatting>
  <conditionalFormatting sqref="AQ9:AS9 K9:P9 R9:X9 K10:AS10 AA11:AS11 X13:AC13 AE15:AK15 AM15:AS15 K22:BG22 AO18:AS18 AM18 AE13:BG13 K15:Y15 K16:Z16 Q11:Y11 AA15:AC15 AB16:AS16 AT6:BG11 AB9:AN9 Z9 O11 K6:AS8 K11:M11 K13:U13 AT15:BG16">
    <cfRule type="expression" dxfId="242" priority="505">
      <formula>K$6=TODAY()</formula>
    </cfRule>
  </conditionalFormatting>
  <conditionalFormatting sqref="K8:BG8 K11:M11 O11 K10:BG10 K12:L12 R11:Y11 AA11:BG11 AE12:BG13 U12:V12 K13:V13 N12:S12 AF16:AS16 AM15:AS15 X12:AC13 AM17:AS17 AO18:AS18 AK18 K17:AC17 AF21:AJ21 AS21:BG21 AO19:BG20 AM18:AM20 K18:AD21 AT15:BG18 AE14:AK15 AM14:BG14 K14:AC15 K16:AD16 AF17:AJ18 AF19:AK20 AM21:AQ21">
    <cfRule type="expression" dxfId="241" priority="507">
      <formula>AND($E8&lt;=K$6,ROUNDDOWN(($F8-$E8+1)*$H8,0)+$E8-1&gt;=K$6)</formula>
    </cfRule>
    <cfRule type="expression" dxfId="240" priority="508">
      <formula>AND(NOT(ISBLANK($E8)),$E8&lt;=K$6,$F8&gt;=K$6)</formula>
    </cfRule>
  </conditionalFormatting>
  <conditionalFormatting sqref="AO9">
    <cfRule type="expression" dxfId="239" priority="510">
      <formula>AP$6=TODAY()</formula>
    </cfRule>
  </conditionalFormatting>
  <conditionalFormatting sqref="AM7:AO7 K9:P9 S9:X9 AQ9:BG9 AB9:AN9 Z9 AR16:AR20">
    <cfRule type="expression" dxfId="238" priority="527">
      <formula>AND($E7&lt;=K$6,ROUNDDOWN(($F7-$E7+1)*$G7,0)+$E7-1&gt;=K$6)</formula>
    </cfRule>
    <cfRule type="expression" dxfId="237" priority="528">
      <formula>AND(NOT(ISBLANK($E7)),$E7&lt;=K$6,$F7&gt;=K$6)</formula>
    </cfRule>
  </conditionalFormatting>
  <conditionalFormatting sqref="AO9">
    <cfRule type="expression" dxfId="236" priority="541">
      <formula>AND($E9&lt;=AP$6,ROUNDDOWN(($F9-$E9+1)*$G9,0)+$E9-1&gt;=AP$6)</formula>
    </cfRule>
    <cfRule type="expression" dxfId="235" priority="542">
      <formula>AND(NOT(ISBLANK($E9)),$E9&lt;=AP$6,$F9&gt;=AP$6)</formula>
    </cfRule>
  </conditionalFormatting>
  <conditionalFormatting sqref="G11 G13">
    <cfRule type="dataBar" priority="50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{0ADE128C-D510-45BA-A15C-23E905039C3D}</x14:id>
        </ext>
      </extLst>
    </cfRule>
  </conditionalFormatting>
  <conditionalFormatting sqref="G15">
    <cfRule type="dataBar" priority="50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{63C889CC-6B43-40FE-99E3-F3FBEEDDAC4C}</x14:id>
        </ext>
      </extLst>
    </cfRule>
  </conditionalFormatting>
  <conditionalFormatting sqref="G16">
    <cfRule type="dataBar" priority="499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{67628C50-517E-4FF9-BE1F-1E493C705778}</x14:id>
        </ext>
      </extLst>
    </cfRule>
  </conditionalFormatting>
  <conditionalFormatting sqref="K22:BG22">
    <cfRule type="expression" dxfId="234" priority="545">
      <formula>AND($E22&lt;=K$6,ROUNDDOWN(($F22-$E22+1)*#REF!,0)+$E22-1&gt;=K$6)</formula>
    </cfRule>
    <cfRule type="expression" dxfId="233" priority="546">
      <formula>AND(NOT(ISBLANK($E22)),$E22&lt;=K$6,$F22&gt;=K$6)</formula>
    </cfRule>
  </conditionalFormatting>
  <conditionalFormatting sqref="Q11 P12 U12 R13 V13 Z15">
    <cfRule type="expression" dxfId="232" priority="553">
      <formula>AND($E9&lt;=P$6,ROUNDDOWN(($F9-$E9+1)*$G9,0)+$E9-1&gt;=P$6)</formula>
    </cfRule>
    <cfRule type="expression" dxfId="231" priority="554">
      <formula>AND(NOT(ISBLANK($E9)),$E9&lt;=P$6,$F9&gt;=P$6)</formula>
    </cfRule>
  </conditionalFormatting>
  <conditionalFormatting sqref="W13">
    <cfRule type="expression" dxfId="230" priority="556">
      <formula>Z$6=TODAY()</formula>
    </cfRule>
  </conditionalFormatting>
  <conditionalFormatting sqref="W13">
    <cfRule type="expression" dxfId="229" priority="561">
      <formula>AND($E11&lt;=Z$6,ROUNDDOWN(($F11-$E11+1)*$H11,0)+$E11-1&gt;=Z$6)</formula>
    </cfRule>
    <cfRule type="expression" dxfId="228" priority="562">
      <formula>AND(NOT(ISBLANK($E11)),$E11&lt;=Z$6,$F11&gt;=Z$6)</formula>
    </cfRule>
  </conditionalFormatting>
  <conditionalFormatting sqref="W13">
    <cfRule type="expression" dxfId="227" priority="563">
      <formula>AND($E11&lt;=Z$6,ROUNDDOWN(($F11-$E11+1)*$G11,0)+$E11-1&gt;=Z$6)</formula>
    </cfRule>
    <cfRule type="expression" dxfId="226" priority="564">
      <formula>AND(NOT(ISBLANK($E11)),$E11&lt;=Z$6,$F11&gt;=Z$6)</formula>
    </cfRule>
  </conditionalFormatting>
  <conditionalFormatting sqref="T14">
    <cfRule type="expression" dxfId="225" priority="573">
      <formula>AND($E22&lt;=AF$6,ROUNDDOWN(($F22-$E22+1)*$G22,0)+$E22-1&gt;=AF$6)</formula>
    </cfRule>
    <cfRule type="expression" dxfId="224" priority="574">
      <formula>AND(NOT(ISBLANK($E22)),$E22&lt;=AF$6,$F22&gt;=AF$6)</formula>
    </cfRule>
  </conditionalFormatting>
  <conditionalFormatting sqref="AD15 AE16">
    <cfRule type="expression" dxfId="223" priority="576">
      <formula>AK$6=TODAY()</formula>
    </cfRule>
  </conditionalFormatting>
  <conditionalFormatting sqref="AE16">
    <cfRule type="expression" dxfId="222" priority="581">
      <formula>AND($E15&lt;=AL$6,ROUNDDOWN(($F15-$E15+1)*$H15,0)+$E15-1&gt;=AL$6)</formula>
    </cfRule>
    <cfRule type="expression" dxfId="221" priority="582">
      <formula>AND(NOT(ISBLANK($E15)),$E15&lt;=AL$6,$F15&gt;=AL$6)</formula>
    </cfRule>
  </conditionalFormatting>
  <conditionalFormatting sqref="AE16">
    <cfRule type="expression" dxfId="220" priority="583">
      <formula>AND($E15&lt;=AL$6,ROUNDDOWN(($F15-$E15+1)*$G15,0)+$E15-1&gt;=AL$6)</formula>
    </cfRule>
    <cfRule type="expression" dxfId="219" priority="584">
      <formula>AND(NOT(ISBLANK($E15)),$E15&lt;=AL$6,$F15&gt;=AL$6)</formula>
    </cfRule>
  </conditionalFormatting>
  <conditionalFormatting sqref="K17:AC17 AF17:AG17 AL17:AS17 AI17:AJ17">
    <cfRule type="expression" dxfId="218" priority="458">
      <formula>K$6=TODAY()</formula>
    </cfRule>
  </conditionalFormatting>
  <conditionalFormatting sqref="AT17:BG17">
    <cfRule type="expression" dxfId="217" priority="450">
      <formula>AT$6=TODAY()</formula>
    </cfRule>
  </conditionalFormatting>
  <conditionalFormatting sqref="G17">
    <cfRule type="dataBar" priority="449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{EF5CA769-97C1-4F0C-AEE8-939C789B9F94}</x14:id>
        </ext>
      </extLst>
    </cfRule>
  </conditionalFormatting>
  <conditionalFormatting sqref="AL17">
    <cfRule type="expression" dxfId="216" priority="453">
      <formula>AL$6=TODAY()</formula>
    </cfRule>
  </conditionalFormatting>
  <conditionalFormatting sqref="AL17">
    <cfRule type="expression" dxfId="215" priority="463">
      <formula>AE$6=TODAY()</formula>
    </cfRule>
  </conditionalFormatting>
  <conditionalFormatting sqref="K18:AD18 AG18:AJ18">
    <cfRule type="expression" dxfId="214" priority="440">
      <formula>K$6=TODAY()</formula>
    </cfRule>
  </conditionalFormatting>
  <conditionalFormatting sqref="AT18:BG18">
    <cfRule type="expression" dxfId="213" priority="432">
      <formula>AT$6=TODAY()</formula>
    </cfRule>
  </conditionalFormatting>
  <conditionalFormatting sqref="G18">
    <cfRule type="dataBar" priority="43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{4F60523D-A698-4D76-880F-9E605B9BB6D1}</x14:id>
        </ext>
      </extLst>
    </cfRule>
  </conditionalFormatting>
  <conditionalFormatting sqref="AN18 P11">
    <cfRule type="expression" dxfId="212" priority="435">
      <formula>N$6=TODAY()</formula>
    </cfRule>
  </conditionalFormatting>
  <conditionalFormatting sqref="AN18:AN19">
    <cfRule type="expression" dxfId="211" priority="436">
      <formula>AND($E17&lt;=AL$6,ROUNDDOWN(($F17-$E17+1)*$H17,0)+$E17-1&gt;=AL$6)</formula>
    </cfRule>
    <cfRule type="expression" dxfId="210" priority="437">
      <formula>AND(NOT(ISBLANK($E17)),$E17&lt;=AL$6,$F17&gt;=AL$6)</formula>
    </cfRule>
  </conditionalFormatting>
  <conditionalFormatting sqref="AN18:AN19">
    <cfRule type="expression" dxfId="209" priority="438">
      <formula>AND($E17&lt;=AL$6,ROUNDDOWN(($F17-$E17+1)*$G17,0)+$E17-1&gt;=AL$6)</formula>
    </cfRule>
    <cfRule type="expression" dxfId="208" priority="439">
      <formula>AND(NOT(ISBLANK($E17)),$E17&lt;=AL$6,$F17&gt;=AL$6)</formula>
    </cfRule>
  </conditionalFormatting>
  <conditionalFormatting sqref="AN18">
    <cfRule type="expression" dxfId="207" priority="443">
      <formula>AE$6=TODAY()</formula>
    </cfRule>
  </conditionalFormatting>
  <conditionalFormatting sqref="AO21:AS21 AM21">
    <cfRule type="expression" dxfId="206" priority="425">
      <formula>AM$6=TODAY()</formula>
    </cfRule>
  </conditionalFormatting>
  <conditionalFormatting sqref="K21:AD21 AF21:AG21 AI21:AJ21">
    <cfRule type="expression" dxfId="205" priority="421">
      <formula>K$6=TODAY()</formula>
    </cfRule>
  </conditionalFormatting>
  <conditionalFormatting sqref="AT21:BG21">
    <cfRule type="expression" dxfId="204" priority="413">
      <formula>AT$6=TODAY()</formula>
    </cfRule>
  </conditionalFormatting>
  <conditionalFormatting sqref="G21">
    <cfRule type="dataBar" priority="41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{C7AAFDCF-DAF2-442A-A564-9AE81BD74B8C}</x14:id>
        </ext>
      </extLst>
    </cfRule>
  </conditionalFormatting>
  <conditionalFormatting sqref="AR21">
    <cfRule type="expression" dxfId="203" priority="416">
      <formula>AL$6=TODAY()</formula>
    </cfRule>
  </conditionalFormatting>
  <conditionalFormatting sqref="AR21">
    <cfRule type="expression" dxfId="202" priority="417">
      <formula>AND($E18&lt;=AL$6,ROUNDDOWN(($F18-$E18+1)*$H18,0)+$E18-1&gt;=AL$6)</formula>
    </cfRule>
    <cfRule type="expression" dxfId="201" priority="418">
      <formula>AND(NOT(ISBLANK($E18)),$E18&lt;=AL$6,$F18&gt;=AL$6)</formula>
    </cfRule>
  </conditionalFormatting>
  <conditionalFormatting sqref="AR21">
    <cfRule type="expression" dxfId="200" priority="419">
      <formula>AND($E18&lt;=AL$6,ROUNDDOWN(($F18-$E18+1)*$G18,0)+$E18-1&gt;=AL$6)</formula>
    </cfRule>
    <cfRule type="expression" dxfId="199" priority="420">
      <formula>AND(NOT(ISBLANK($E18)),$E18&lt;=AL$6,$F18&gt;=AL$6)</formula>
    </cfRule>
  </conditionalFormatting>
  <conditionalFormatting sqref="AR21">
    <cfRule type="expression" dxfId="198" priority="424">
      <formula>AE$6=TODAY()</formula>
    </cfRule>
  </conditionalFormatting>
  <conditionalFormatting sqref="K12:L12 X12:AC12 AE12:BG12 V12 N12:T12">
    <cfRule type="expression" dxfId="197" priority="382">
      <formula>K$6=TODAY()</formula>
    </cfRule>
  </conditionalFormatting>
  <conditionalFormatting sqref="G12">
    <cfRule type="dataBar" priority="38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{06846E42-72C5-42EF-90CF-4B934C2EBA7C}</x14:id>
        </ext>
      </extLst>
    </cfRule>
  </conditionalFormatting>
  <conditionalFormatting sqref="T12">
    <cfRule type="expression" dxfId="196" priority="385">
      <formula>Z$6=TODAY()</formula>
    </cfRule>
  </conditionalFormatting>
  <conditionalFormatting sqref="T12">
    <cfRule type="expression" dxfId="195" priority="386">
      <formula>AND($E10&lt;=Z$6,ROUNDDOWN(($F10-$E10+1)*$H10,0)+$E10-1&gt;=Z$6)</formula>
    </cfRule>
    <cfRule type="expression" dxfId="194" priority="387">
      <formula>AND(NOT(ISBLANK($E10)),$E10&lt;=Z$6,$F10&gt;=Z$6)</formula>
    </cfRule>
  </conditionalFormatting>
  <conditionalFormatting sqref="T12">
    <cfRule type="expression" dxfId="193" priority="388">
      <formula>AND($E10&lt;=Z$6,ROUNDDOWN(($F10-$E10+1)*$G10,0)+$E10-1&gt;=Z$6)</formula>
    </cfRule>
    <cfRule type="expression" dxfId="192" priority="389">
      <formula>AND(NOT(ISBLANK($E10)),$E10&lt;=Z$6,$F10&gt;=Z$6)</formula>
    </cfRule>
  </conditionalFormatting>
  <conditionalFormatting sqref="M11">
    <cfRule type="expression" dxfId="191" priority="378">
      <formula>AND($E9&lt;=M$6,ROUNDDOWN(($F9-$E9+1)*$G9,0)+$E9-1&gt;=M$6)</formula>
    </cfRule>
    <cfRule type="expression" dxfId="190" priority="379">
      <formula>AND(NOT(ISBLANK($E9)),$E9&lt;=M$6,$F9&gt;=M$6)</formula>
    </cfRule>
  </conditionalFormatting>
  <conditionalFormatting sqref="P12">
    <cfRule type="expression" dxfId="189" priority="377">
      <formula>P$6=TODAY()</formula>
    </cfRule>
  </conditionalFormatting>
  <conditionalFormatting sqref="R13">
    <cfRule type="expression" dxfId="188" priority="374">
      <formula>R$6=TODAY()</formula>
    </cfRule>
  </conditionalFormatting>
  <conditionalFormatting sqref="R13">
    <cfRule type="expression" dxfId="187" priority="373">
      <formula>R$6=TODAY()</formula>
    </cfRule>
  </conditionalFormatting>
  <conditionalFormatting sqref="AB16">
    <cfRule type="expression" dxfId="186" priority="362">
      <formula>AB$6=TODAY()</formula>
    </cfRule>
  </conditionalFormatting>
  <conditionalFormatting sqref="AB16">
    <cfRule type="expression" dxfId="185" priority="361">
      <formula>AB$6=TODAY()</formula>
    </cfRule>
  </conditionalFormatting>
  <conditionalFormatting sqref="AH17">
    <cfRule type="expression" dxfId="184" priority="349">
      <formula>AH$6=TODAY()</formula>
    </cfRule>
  </conditionalFormatting>
  <conditionalFormatting sqref="AH17">
    <cfRule type="expression" dxfId="183" priority="348">
      <formula>AH$6=TODAY()</formula>
    </cfRule>
  </conditionalFormatting>
  <conditionalFormatting sqref="AH17">
    <cfRule type="expression" dxfId="182" priority="347">
      <formula>AH$6=TODAY()</formula>
    </cfRule>
  </conditionalFormatting>
  <conditionalFormatting sqref="AK18">
    <cfRule type="expression" dxfId="181" priority="342">
      <formula>AK$6=TODAY()</formula>
    </cfRule>
  </conditionalFormatting>
  <conditionalFormatting sqref="AK18">
    <cfRule type="expression" dxfId="180" priority="341">
      <formula>AK$6=TODAY()</formula>
    </cfRule>
  </conditionalFormatting>
  <conditionalFormatting sqref="AK18">
    <cfRule type="expression" dxfId="179" priority="340">
      <formula>AK$6=TODAY()</formula>
    </cfRule>
  </conditionalFormatting>
  <conditionalFormatting sqref="AK18">
    <cfRule type="expression" dxfId="178" priority="338">
      <formula>AND(#REF!&lt;=AK$6,ROUNDDOWN((#REF!-#REF!+1)*#REF!,0)+#REF!-1&gt;=AK$6)</formula>
    </cfRule>
    <cfRule type="expression" dxfId="177" priority="339">
      <formula>AND(NOT(ISBLANK(#REF!)),#REF!&lt;=AK$6,#REF!&gt;=AK$6)</formula>
    </cfRule>
  </conditionalFormatting>
  <conditionalFormatting sqref="AN21">
    <cfRule type="expression" dxfId="176" priority="335">
      <formula>AN$6=TODAY()</formula>
    </cfRule>
  </conditionalFormatting>
  <conditionalFormatting sqref="AN21">
    <cfRule type="expression" dxfId="175" priority="334">
      <formula>AN$6=TODAY()</formula>
    </cfRule>
  </conditionalFormatting>
  <conditionalFormatting sqref="AN21">
    <cfRule type="expression" dxfId="174" priority="333">
      <formula>AN$6=TODAY()</formula>
    </cfRule>
  </conditionalFormatting>
  <conditionalFormatting sqref="U12">
    <cfRule type="expression" dxfId="173" priority="286">
      <formula>U$6=TODAY()</formula>
    </cfRule>
  </conditionalFormatting>
  <conditionalFormatting sqref="U12">
    <cfRule type="expression" dxfId="172" priority="285">
      <formula>U$6=TODAY()</formula>
    </cfRule>
  </conditionalFormatting>
  <conditionalFormatting sqref="U12">
    <cfRule type="expression" dxfId="171" priority="284">
      <formula>U$6=TODAY()</formula>
    </cfRule>
  </conditionalFormatting>
  <conditionalFormatting sqref="V13">
    <cfRule type="expression" dxfId="170" priority="279">
      <formula>V$6=TODAY()</formula>
    </cfRule>
  </conditionalFormatting>
  <conditionalFormatting sqref="V13">
    <cfRule type="expression" dxfId="169" priority="278">
      <formula>V$6=TODAY()</formula>
    </cfRule>
  </conditionalFormatting>
  <conditionalFormatting sqref="V13">
    <cfRule type="expression" dxfId="168" priority="277">
      <formula>V$6=TODAY()</formula>
    </cfRule>
  </conditionalFormatting>
  <conditionalFormatting sqref="Z15">
    <cfRule type="expression" dxfId="167" priority="265">
      <formula>Z$6=TODAY()</formula>
    </cfRule>
  </conditionalFormatting>
  <conditionalFormatting sqref="Z15">
    <cfRule type="expression" dxfId="166" priority="264">
      <formula>Z$6=TODAY()</formula>
    </cfRule>
  </conditionalFormatting>
  <conditionalFormatting sqref="Z15">
    <cfRule type="expression" dxfId="165" priority="263">
      <formula>Z$6=TODAY()</formula>
    </cfRule>
  </conditionalFormatting>
  <conditionalFormatting sqref="AA16">
    <cfRule type="expression" dxfId="164" priority="258">
      <formula>AA$6=TODAY()</formula>
    </cfRule>
  </conditionalFormatting>
  <conditionalFormatting sqref="AA16">
    <cfRule type="expression" dxfId="163" priority="257">
      <formula>AA$6=TODAY()</formula>
    </cfRule>
  </conditionalFormatting>
  <conditionalFormatting sqref="AA16">
    <cfRule type="expression" dxfId="162" priority="256">
      <formula>AA$6=TODAY()</formula>
    </cfRule>
  </conditionalFormatting>
  <conditionalFormatting sqref="R9">
    <cfRule type="expression" dxfId="161" priority="237">
      <formula>AD$6=TODAY()</formula>
    </cfRule>
  </conditionalFormatting>
  <conditionalFormatting sqref="R9">
    <cfRule type="expression" dxfId="160" priority="236">
      <formula>AD$6=TODAY()</formula>
    </cfRule>
  </conditionalFormatting>
  <conditionalFormatting sqref="R9">
    <cfRule type="expression" dxfId="159" priority="235">
      <formula>AD$6=TODAY()</formula>
    </cfRule>
  </conditionalFormatting>
  <conditionalFormatting sqref="AF18">
    <cfRule type="expression" dxfId="158" priority="226">
      <formula>AND(#REF!&lt;=AF$6,ROUNDDOWN((#REF!-#REF!+1)*#REF!,0)+#REF!-1&gt;=AF$6)</formula>
    </cfRule>
    <cfRule type="expression" dxfId="157" priority="227">
      <formula>AND(NOT(ISBLANK(#REF!)),#REF!&lt;=AF$6,#REF!&gt;=AF$6)</formula>
    </cfRule>
  </conditionalFormatting>
  <conditionalFormatting sqref="AF18">
    <cfRule type="expression" dxfId="156" priority="230">
      <formula>AF$6=TODAY()</formula>
    </cfRule>
  </conditionalFormatting>
  <conditionalFormatting sqref="AF18">
    <cfRule type="expression" dxfId="155" priority="229">
      <formula>AF$6=TODAY()</formula>
    </cfRule>
  </conditionalFormatting>
  <conditionalFormatting sqref="AF18">
    <cfRule type="expression" dxfId="154" priority="228">
      <formula>AF$6=TODAY()</formula>
    </cfRule>
  </conditionalFormatting>
  <conditionalFormatting sqref="AH21">
    <cfRule type="expression" dxfId="153" priority="223">
      <formula>AH$6=TODAY()</formula>
    </cfRule>
  </conditionalFormatting>
  <conditionalFormatting sqref="AH21">
    <cfRule type="expression" dxfId="152" priority="222">
      <formula>AH$6=TODAY()</formula>
    </cfRule>
  </conditionalFormatting>
  <conditionalFormatting sqref="AH21">
    <cfRule type="expression" dxfId="151" priority="221">
      <formula>AH$6=TODAY()</formula>
    </cfRule>
  </conditionalFormatting>
  <conditionalFormatting sqref="AL17">
    <cfRule type="expression" dxfId="150" priority="627">
      <formula>AND(#REF!&lt;=AL$6,ROUNDDOWN((#REF!-#REF!+1)*#REF!,0)+#REF!-1&gt;=AL$6)</formula>
    </cfRule>
    <cfRule type="expression" dxfId="149" priority="628">
      <formula>AND(NOT(ISBLANK(#REF!)),#REF!&lt;=AL$6,#REF!&gt;=AL$6)</formula>
    </cfRule>
  </conditionalFormatting>
  <conditionalFormatting sqref="AL17">
    <cfRule type="expression" dxfId="148" priority="629">
      <formula>AND(#REF!&lt;=AL$6,ROUNDDOWN((#REF!-#REF!+1)*#REF!,0)+#REF!-1&gt;=AL$6)</formula>
    </cfRule>
    <cfRule type="expression" dxfId="147" priority="630">
      <formula>AND(NOT(ISBLANK(#REF!)),#REF!&lt;=AL$6,#REF!&gt;=AL$6)</formula>
    </cfRule>
  </conditionalFormatting>
  <conditionalFormatting sqref="Y9">
    <cfRule type="expression" dxfId="146" priority="632">
      <formula>AA$6=TODAY()</formula>
    </cfRule>
  </conditionalFormatting>
  <conditionalFormatting sqref="Y9">
    <cfRule type="expression" dxfId="145" priority="678">
      <formula>AND($E9&lt;=AA$6,ROUNDDOWN(($F9-$E9+1)*$G9,0)+$E9-1&gt;=AA$6)</formula>
    </cfRule>
    <cfRule type="expression" dxfId="144" priority="679">
      <formula>AND(NOT(ISBLANK($E9)),$E9&lt;=AA$6,$F9&gt;=AA$6)</formula>
    </cfRule>
  </conditionalFormatting>
  <conditionalFormatting sqref="P11">
    <cfRule type="expression" dxfId="143" priority="686">
      <formula>AND($E11&lt;=N$6,ROUNDDOWN(($F11-$E11+1)*$H11,0)+$E11-1&gt;=N$6)</formula>
    </cfRule>
    <cfRule type="expression" dxfId="142" priority="687">
      <formula>AND(NOT(ISBLANK($E11)),$E11&lt;=N$6,$F11&gt;=N$6)</formula>
    </cfRule>
  </conditionalFormatting>
  <conditionalFormatting sqref="U12">
    <cfRule type="expression" dxfId="141" priority="197">
      <formula>U$6=TODAY()</formula>
    </cfRule>
  </conditionalFormatting>
  <conditionalFormatting sqref="V13">
    <cfRule type="expression" dxfId="140" priority="196">
      <formula>V$6=TODAY()</formula>
    </cfRule>
  </conditionalFormatting>
  <conditionalFormatting sqref="Z15">
    <cfRule type="expression" dxfId="139" priority="194">
      <formula>Z$6=TODAY()</formula>
    </cfRule>
  </conditionalFormatting>
  <conditionalFormatting sqref="AA16">
    <cfRule type="expression" dxfId="138" priority="193">
      <formula>AA$6=TODAY()</formula>
    </cfRule>
  </conditionalFormatting>
  <conditionalFormatting sqref="AH21">
    <cfRule type="expression" dxfId="137" priority="191">
      <formula>AH$6=TODAY()</formula>
    </cfRule>
  </conditionalFormatting>
  <conditionalFormatting sqref="AF18">
    <cfRule type="expression" dxfId="136" priority="192">
      <formula>AF$6=TODAY()</formula>
    </cfRule>
  </conditionalFormatting>
  <conditionalFormatting sqref="AH21 AN21">
    <cfRule type="expression" dxfId="135" priority="688">
      <formula>AND($E17&lt;=AH$6,ROUNDDOWN(($F17-$E17+1)*$G17,0)+$E17-1&gt;=AH$6)</formula>
    </cfRule>
    <cfRule type="expression" dxfId="134" priority="689">
      <formula>AND(NOT(ISBLANK($E17)),$E17&lt;=AH$6,$F17&gt;=AH$6)</formula>
    </cfRule>
  </conditionalFormatting>
  <conditionalFormatting sqref="AO20:AS20 AM20">
    <cfRule type="expression" dxfId="133" priority="186">
      <formula>AM$6=TODAY()</formula>
    </cfRule>
  </conditionalFormatting>
  <conditionalFormatting sqref="K20:AD20 AG20:AJ20">
    <cfRule type="expression" dxfId="132" priority="184">
      <formula>K$6=TODAY()</formula>
    </cfRule>
  </conditionalFormatting>
  <conditionalFormatting sqref="AT20:BG20">
    <cfRule type="expression" dxfId="131" priority="178">
      <formula>AT$6=TODAY()</formula>
    </cfRule>
  </conditionalFormatting>
  <conditionalFormatting sqref="G20">
    <cfRule type="dataBar" priority="17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{C3B42B3E-2608-4DF7-9D1E-6A4F332F2401}</x14:id>
        </ext>
      </extLst>
    </cfRule>
  </conditionalFormatting>
  <conditionalFormatting sqref="AN20">
    <cfRule type="expression" dxfId="130" priority="179">
      <formula>AL$6=TODAY()</formula>
    </cfRule>
  </conditionalFormatting>
  <conditionalFormatting sqref="AN20">
    <cfRule type="expression" dxfId="129" priority="180">
      <formula>AND($E18&lt;=AL$6,ROUNDDOWN(($F18-$E18+1)*$H18,0)+$E18-1&gt;=AL$6)</formula>
    </cfRule>
    <cfRule type="expression" dxfId="128" priority="181">
      <formula>AND(NOT(ISBLANK($E18)),$E18&lt;=AL$6,$F18&gt;=AL$6)</formula>
    </cfRule>
  </conditionalFormatting>
  <conditionalFormatting sqref="AN20">
    <cfRule type="expression" dxfId="127" priority="182">
      <formula>AND($E18&lt;=AL$6,ROUNDDOWN(($F18-$E18+1)*$G18,0)+$E18-1&gt;=AL$6)</formula>
    </cfRule>
    <cfRule type="expression" dxfId="126" priority="183">
      <formula>AND(NOT(ISBLANK($E18)),$E18&lt;=AL$6,$F18&gt;=AL$6)</formula>
    </cfRule>
  </conditionalFormatting>
  <conditionalFormatting sqref="AN20">
    <cfRule type="expression" dxfId="125" priority="185">
      <formula>AE$6=TODAY()</formula>
    </cfRule>
  </conditionalFormatting>
  <conditionalFormatting sqref="AK20">
    <cfRule type="expression" dxfId="124" priority="176">
      <formula>AK$6=TODAY()</formula>
    </cfRule>
  </conditionalFormatting>
  <conditionalFormatting sqref="AK20">
    <cfRule type="expression" dxfId="123" priority="175">
      <formula>AK$6=TODAY()</formula>
    </cfRule>
  </conditionalFormatting>
  <conditionalFormatting sqref="AK20">
    <cfRule type="expression" dxfId="122" priority="174">
      <formula>AK$6=TODAY()</formula>
    </cfRule>
  </conditionalFormatting>
  <conditionalFormatting sqref="AK20">
    <cfRule type="expression" dxfId="121" priority="172">
      <formula>AND(#REF!&lt;=AK$6,ROUNDDOWN((#REF!-#REF!+1)*#REF!,0)+#REF!-1&gt;=AK$6)</formula>
    </cfRule>
    <cfRule type="expression" dxfId="120" priority="173">
      <formula>AND(NOT(ISBLANK(#REF!)),#REF!&lt;=AK$6,#REF!&gt;=AK$6)</formula>
    </cfRule>
  </conditionalFormatting>
  <conditionalFormatting sqref="AF20">
    <cfRule type="expression" dxfId="119" priority="167">
      <formula>AND(#REF!&lt;=AF$6,ROUNDDOWN((#REF!-#REF!+1)*#REF!,0)+#REF!-1&gt;=AF$6)</formula>
    </cfRule>
    <cfRule type="expression" dxfId="118" priority="168">
      <formula>AND(NOT(ISBLANK(#REF!)),#REF!&lt;=AF$6,#REF!&gt;=AF$6)</formula>
    </cfRule>
  </conditionalFormatting>
  <conditionalFormatting sqref="AF20">
    <cfRule type="expression" dxfId="117" priority="171">
      <formula>AF$6=TODAY()</formula>
    </cfRule>
  </conditionalFormatting>
  <conditionalFormatting sqref="AF20">
    <cfRule type="expression" dxfId="116" priority="170">
      <formula>AF$6=TODAY()</formula>
    </cfRule>
  </conditionalFormatting>
  <conditionalFormatting sqref="AF20">
    <cfRule type="expression" dxfId="115" priority="169">
      <formula>AF$6=TODAY()</formula>
    </cfRule>
  </conditionalFormatting>
  <conditionalFormatting sqref="AF20">
    <cfRule type="expression" dxfId="114" priority="166">
      <formula>AF$6=TODAY()</formula>
    </cfRule>
  </conditionalFormatting>
  <conditionalFormatting sqref="AO19:AS19 AM19">
    <cfRule type="expression" dxfId="113" priority="161">
      <formula>AM$6=TODAY()</formula>
    </cfRule>
  </conditionalFormatting>
  <conditionalFormatting sqref="K19:AD19 AG19:AJ19">
    <cfRule type="expression" dxfId="112" priority="159">
      <formula>K$6=TODAY()</formula>
    </cfRule>
  </conditionalFormatting>
  <conditionalFormatting sqref="AT19:BG19">
    <cfRule type="expression" dxfId="111" priority="153">
      <formula>AT$6=TODAY()</formula>
    </cfRule>
  </conditionalFormatting>
  <conditionalFormatting sqref="G19">
    <cfRule type="dataBar" priority="152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{7ECC8515-C9BF-4398-A0FF-AC56B3664D48}</x14:id>
        </ext>
      </extLst>
    </cfRule>
  </conditionalFormatting>
  <conditionalFormatting sqref="AN19">
    <cfRule type="expression" dxfId="110" priority="154">
      <formula>AL$6=TODAY()</formula>
    </cfRule>
  </conditionalFormatting>
  <conditionalFormatting sqref="AN19">
    <cfRule type="expression" dxfId="109" priority="160">
      <formula>AE$6=TODAY()</formula>
    </cfRule>
  </conditionalFormatting>
  <conditionalFormatting sqref="AK19">
    <cfRule type="expression" dxfId="108" priority="151">
      <formula>AK$6=TODAY()</formula>
    </cfRule>
  </conditionalFormatting>
  <conditionalFormatting sqref="AK19">
    <cfRule type="expression" dxfId="107" priority="150">
      <formula>AK$6=TODAY()</formula>
    </cfRule>
  </conditionalFormatting>
  <conditionalFormatting sqref="AK19">
    <cfRule type="expression" dxfId="106" priority="149">
      <formula>AK$6=TODAY()</formula>
    </cfRule>
  </conditionalFormatting>
  <conditionalFormatting sqref="AK19">
    <cfRule type="expression" dxfId="105" priority="147">
      <formula>AND(#REF!&lt;=AK$6,ROUNDDOWN((#REF!-#REF!+1)*#REF!,0)+#REF!-1&gt;=AK$6)</formula>
    </cfRule>
    <cfRule type="expression" dxfId="104" priority="148">
      <formula>AND(NOT(ISBLANK(#REF!)),#REF!&lt;=AK$6,#REF!&gt;=AK$6)</formula>
    </cfRule>
  </conditionalFormatting>
  <conditionalFormatting sqref="AF19">
    <cfRule type="expression" dxfId="103" priority="142">
      <formula>AND(#REF!&lt;=AF$6,ROUNDDOWN((#REF!-#REF!+1)*#REF!,0)+#REF!-1&gt;=AF$6)</formula>
    </cfRule>
    <cfRule type="expression" dxfId="102" priority="143">
      <formula>AND(NOT(ISBLANK(#REF!)),#REF!&lt;=AF$6,#REF!&gt;=AF$6)</formula>
    </cfRule>
  </conditionalFormatting>
  <conditionalFormatting sqref="AF19">
    <cfRule type="expression" dxfId="101" priority="146">
      <formula>AF$6=TODAY()</formula>
    </cfRule>
  </conditionalFormatting>
  <conditionalFormatting sqref="AF19">
    <cfRule type="expression" dxfId="100" priority="145">
      <formula>AF$6=TODAY()</formula>
    </cfRule>
  </conditionalFormatting>
  <conditionalFormatting sqref="AF19">
    <cfRule type="expression" dxfId="99" priority="144">
      <formula>AF$6=TODAY()</formula>
    </cfRule>
  </conditionalFormatting>
  <conditionalFormatting sqref="AF19">
    <cfRule type="expression" dxfId="98" priority="141">
      <formula>AF$6=TODAY()</formula>
    </cfRule>
  </conditionalFormatting>
  <conditionalFormatting sqref="T14">
    <cfRule type="expression" dxfId="97" priority="732">
      <formula>AND($E23&lt;=AF$6,ROUNDDOWN(($F23-$E23+1)*$H23,0)+$E23-1&gt;=AF$6)</formula>
    </cfRule>
    <cfRule type="expression" dxfId="96" priority="733">
      <formula>AND(NOT(ISBLANK($E23)),$E23&lt;=AF$6,$F23&gt;=AF$6)</formula>
    </cfRule>
  </conditionalFormatting>
  <conditionalFormatting sqref="AH17">
    <cfRule type="expression" dxfId="95" priority="776">
      <formula>AND($E16&lt;=AH$6,ROUNDDOWN(($F16-$E16+1)*$G16,0)+$E16-1&gt;=AH$6)</formula>
    </cfRule>
    <cfRule type="expression" dxfId="94" priority="777">
      <formula>AND(NOT(ISBLANK($E16)),$E16&lt;=AH$6,$F16&gt;=AH$6)</formula>
    </cfRule>
  </conditionalFormatting>
  <conditionalFormatting sqref="L11">
    <cfRule type="expression" dxfId="93" priority="136">
      <formula>X$6=TODAY()</formula>
    </cfRule>
  </conditionalFormatting>
  <conditionalFormatting sqref="L11">
    <cfRule type="expression" dxfId="92" priority="135">
      <formula>X$6=TODAY()</formula>
    </cfRule>
  </conditionalFormatting>
  <conditionalFormatting sqref="L11">
    <cfRule type="expression" dxfId="91" priority="134">
      <formula>X$6=TODAY()</formula>
    </cfRule>
  </conditionalFormatting>
  <conditionalFormatting sqref="M12">
    <cfRule type="expression" dxfId="90" priority="129">
      <formula>M$6=TODAY()</formula>
    </cfRule>
  </conditionalFormatting>
  <conditionalFormatting sqref="M12">
    <cfRule type="expression" dxfId="89" priority="128">
      <formula>Y$6=TODAY()</formula>
    </cfRule>
  </conditionalFormatting>
  <conditionalFormatting sqref="M12">
    <cfRule type="expression" dxfId="88" priority="127">
      <formula>Y$6=TODAY()</formula>
    </cfRule>
  </conditionalFormatting>
  <conditionalFormatting sqref="M12">
    <cfRule type="expression" dxfId="87" priority="126">
      <formula>Y$6=TODAY()</formula>
    </cfRule>
  </conditionalFormatting>
  <conditionalFormatting sqref="P13">
    <cfRule type="expression" dxfId="86" priority="121">
      <formula>AB$6=TODAY()</formula>
    </cfRule>
  </conditionalFormatting>
  <conditionalFormatting sqref="P13">
    <cfRule type="expression" dxfId="85" priority="120">
      <formula>AB$6=TODAY()</formula>
    </cfRule>
  </conditionalFormatting>
  <conditionalFormatting sqref="P13">
    <cfRule type="expression" dxfId="84" priority="119">
      <formula>AB$6=TODAY()</formula>
    </cfRule>
  </conditionalFormatting>
  <conditionalFormatting sqref="AA16:AB16">
    <cfRule type="expression" dxfId="83" priority="778">
      <formula>AND(#REF!&lt;=AA$6,ROUNDDOWN((#REF!-#REF!+1)*#REF!,0)+#REF!-1&gt;=AA$6)</formula>
    </cfRule>
    <cfRule type="expression" dxfId="82" priority="779">
      <formula>AND(NOT(ISBLANK(#REF!)),#REF!&lt;=AA$6,#REF!&gt;=AA$6)</formula>
    </cfRule>
  </conditionalFormatting>
  <conditionalFormatting sqref="AD15">
    <cfRule type="expression" dxfId="81" priority="782">
      <formula>AND(#REF!&lt;=AK$6,ROUNDDOWN((#REF!-#REF!+1)*#REF!,0)+#REF!-1&gt;=AK$6)</formula>
    </cfRule>
    <cfRule type="expression" dxfId="80" priority="783">
      <formula>AND(NOT(ISBLANK(#REF!)),#REF!&lt;=AK$6,#REF!&gt;=AK$6)</formula>
    </cfRule>
  </conditionalFormatting>
  <conditionalFormatting sqref="AD15">
    <cfRule type="expression" dxfId="79" priority="784">
      <formula>AND(#REF!&lt;=AK$6,ROUNDDOWN((#REF!-#REF!+1)*#REF!,0)+#REF!-1&gt;=AK$6)</formula>
    </cfRule>
    <cfRule type="expression" dxfId="78" priority="785">
      <formula>AND(NOT(ISBLANK(#REF!)),#REF!&lt;=AK$6,#REF!&gt;=AK$6)</formula>
    </cfRule>
  </conditionalFormatting>
  <conditionalFormatting sqref="AE14:AK14 AM14:BG14 K14:S14 AA14:AC14 U14:Y14">
    <cfRule type="expression" dxfId="77" priority="74">
      <formula>K$6=TODAY()</formula>
    </cfRule>
  </conditionalFormatting>
  <conditionalFormatting sqref="G14">
    <cfRule type="dataBar" priority="73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{770B330A-EC01-4F51-8C63-9D3D67A7C4D5}</x14:id>
        </ext>
      </extLst>
    </cfRule>
  </conditionalFormatting>
  <conditionalFormatting sqref="AD14">
    <cfRule type="expression" dxfId="76" priority="77">
      <formula>AK$6=TODAY()</formula>
    </cfRule>
  </conditionalFormatting>
  <conditionalFormatting sqref="Z14">
    <cfRule type="expression" dxfId="75" priority="72">
      <formula>Z$6=TODAY()</formula>
    </cfRule>
  </conditionalFormatting>
  <conditionalFormatting sqref="Z14">
    <cfRule type="expression" dxfId="74" priority="71">
      <formula>Z$6=TODAY()</formula>
    </cfRule>
  </conditionalFormatting>
  <conditionalFormatting sqref="Z14">
    <cfRule type="expression" dxfId="73" priority="70">
      <formula>Z$6=TODAY()</formula>
    </cfRule>
  </conditionalFormatting>
  <conditionalFormatting sqref="Z14">
    <cfRule type="expression" dxfId="72" priority="69">
      <formula>Z$6=TODAY()</formula>
    </cfRule>
  </conditionalFormatting>
  <conditionalFormatting sqref="Z14">
    <cfRule type="expression" dxfId="71" priority="78">
      <formula>AND($E12&lt;=Z$6,ROUNDDOWN(($F12-$E12+1)*$G12,0)+$E12-1&gt;=Z$6)</formula>
    </cfRule>
    <cfRule type="expression" dxfId="70" priority="79">
      <formula>AND(NOT(ISBLANK($E12)),$E12&lt;=Z$6,$F12&gt;=Z$6)</formula>
    </cfRule>
  </conditionalFormatting>
  <conditionalFormatting sqref="AD14">
    <cfRule type="expression" dxfId="69" priority="80">
      <formula>AND($E13&lt;=AK$6,ROUNDDOWN(($F13-$E13+1)*$H13,0)+$E13-1&gt;=AK$6)</formula>
    </cfRule>
    <cfRule type="expression" dxfId="68" priority="81">
      <formula>AND(NOT(ISBLANK($E13)),$E13&lt;=AK$6,$F13&gt;=AK$6)</formula>
    </cfRule>
  </conditionalFormatting>
  <conditionalFormatting sqref="AD14">
    <cfRule type="expression" dxfId="67" priority="82">
      <formula>AND($E13&lt;=AK$6,ROUNDDOWN(($F13-$E13+1)*$G13,0)+$E13-1&gt;=AK$6)</formula>
    </cfRule>
    <cfRule type="expression" dxfId="66" priority="83">
      <formula>AND(NOT(ISBLANK($E13)),$E13&lt;=AK$6,$F13&gt;=AK$6)</formula>
    </cfRule>
  </conditionalFormatting>
  <conditionalFormatting sqref="T14">
    <cfRule type="expression" dxfId="65" priority="66">
      <formula>T$6=TODAY()</formula>
    </cfRule>
  </conditionalFormatting>
  <conditionalFormatting sqref="T14">
    <cfRule type="expression" dxfId="64" priority="61">
      <formula>AF$6=TODAY()</formula>
    </cfRule>
  </conditionalFormatting>
  <conditionalFormatting sqref="T14">
    <cfRule type="expression" dxfId="63" priority="60">
      <formula>AF$6=TODAY()</formula>
    </cfRule>
  </conditionalFormatting>
  <conditionalFormatting sqref="T14">
    <cfRule type="expression" dxfId="62" priority="59">
      <formula>AF$6=TODAY()</formula>
    </cfRule>
  </conditionalFormatting>
  <conditionalFormatting sqref="R9 L11 M12 P13">
    <cfRule type="expression" dxfId="61" priority="828">
      <formula>AND($E16&lt;=X$6,ROUNDDOWN(($F16-$E16+1)*$G16,0)+$E16-1&gt;=X$6)</formula>
    </cfRule>
    <cfRule type="expression" dxfId="60" priority="829">
      <formula>AND(NOT(ISBLANK($E16)),$E16&lt;=X$6,$F16&gt;=X$6)</formula>
    </cfRule>
  </conditionalFormatting>
  <conditionalFormatting sqref="R9 L11 M12 P13">
    <cfRule type="expression" dxfId="59" priority="850">
      <formula>AND($E17&lt;=X$6,ROUNDDOWN(($F17-$E17+1)*$H17,0)+$E17-1&gt;=X$6)</formula>
    </cfRule>
    <cfRule type="expression" dxfId="58" priority="851">
      <formula>AND(NOT(ISBLANK($E17)),$E17&lt;=X$6,$F17&gt;=X$6)</formula>
    </cfRule>
  </conditionalFormatting>
  <conditionalFormatting sqref="W15">
    <cfRule type="expression" dxfId="57" priority="55">
      <formula>AND($E23&lt;=AI$6,ROUNDDOWN(($F23-$E23+1)*$G23,0)+$E23-1&gt;=AI$6)</formula>
    </cfRule>
    <cfRule type="expression" dxfId="56" priority="56">
      <formula>AND(NOT(ISBLANK($E23)),$E23&lt;=AI$6,$F23&gt;=AI$6)</formula>
    </cfRule>
  </conditionalFormatting>
  <conditionalFormatting sqref="W15">
    <cfRule type="expression" dxfId="55" priority="57">
      <formula>AND($E24&lt;=AI$6,ROUNDDOWN(($F24-$E24+1)*$H24,0)+$E24-1&gt;=AI$6)</formula>
    </cfRule>
    <cfRule type="expression" dxfId="54" priority="58">
      <formula>AND(NOT(ISBLANK($E24)),$E24&lt;=AI$6,$F24&gt;=AI$6)</formula>
    </cfRule>
  </conditionalFormatting>
  <conditionalFormatting sqref="W15">
    <cfRule type="expression" dxfId="53" priority="54">
      <formula>W$6=TODAY()</formula>
    </cfRule>
  </conditionalFormatting>
  <conditionalFormatting sqref="W15">
    <cfRule type="expression" dxfId="52" priority="53">
      <formula>AI$6=TODAY()</formula>
    </cfRule>
  </conditionalFormatting>
  <conditionalFormatting sqref="W15">
    <cfRule type="expression" dxfId="51" priority="52">
      <formula>AI$6=TODAY()</formula>
    </cfRule>
  </conditionalFormatting>
  <conditionalFormatting sqref="W15">
    <cfRule type="expression" dxfId="50" priority="51">
      <formula>AI$6=TODAY()</formula>
    </cfRule>
  </conditionalFormatting>
  <conditionalFormatting sqref="Y16">
    <cfRule type="expression" dxfId="49" priority="47">
      <formula>AND($E24&lt;=AK$6,ROUNDDOWN(($F24-$E24+1)*$G24,0)+$E24-1&gt;=AK$6)</formula>
    </cfRule>
    <cfRule type="expression" dxfId="48" priority="48">
      <formula>AND(NOT(ISBLANK($E24)),$E24&lt;=AK$6,$F24&gt;=AK$6)</formula>
    </cfRule>
  </conditionalFormatting>
  <conditionalFormatting sqref="Y16">
    <cfRule type="expression" dxfId="47" priority="49">
      <formula>AND($E25&lt;=AK$6,ROUNDDOWN(($F25-$E25+1)*$H25,0)+$E25-1&gt;=AK$6)</formula>
    </cfRule>
    <cfRule type="expression" dxfId="46" priority="50">
      <formula>AND(NOT(ISBLANK($E25)),$E25&lt;=AK$6,$F25&gt;=AK$6)</formula>
    </cfRule>
  </conditionalFormatting>
  <conditionalFormatting sqref="Y16">
    <cfRule type="expression" dxfId="45" priority="46">
      <formula>Y$6=TODAY()</formula>
    </cfRule>
  </conditionalFormatting>
  <conditionalFormatting sqref="Y16">
    <cfRule type="expression" dxfId="44" priority="45">
      <formula>AK$6=TODAY()</formula>
    </cfRule>
  </conditionalFormatting>
  <conditionalFormatting sqref="Y16">
    <cfRule type="expression" dxfId="43" priority="44">
      <formula>AK$6=TODAY()</formula>
    </cfRule>
  </conditionalFormatting>
  <conditionalFormatting sqref="Y16">
    <cfRule type="expression" dxfId="42" priority="43">
      <formula>AK$6=TODAY()</formula>
    </cfRule>
  </conditionalFormatting>
  <conditionalFormatting sqref="AD17">
    <cfRule type="expression" dxfId="41" priority="37">
      <formula>AND($E17&lt;=AD$6,ROUNDDOWN(($F17-$E17+1)*$H17,0)+$E17-1&gt;=AD$6)</formula>
    </cfRule>
    <cfRule type="expression" dxfId="40" priority="38">
      <formula>AND(NOT(ISBLANK($E17)),$E17&lt;=AD$6,$F17&gt;=AD$6)</formula>
    </cfRule>
  </conditionalFormatting>
  <conditionalFormatting sqref="AD17">
    <cfRule type="expression" dxfId="39" priority="39">
      <formula>AND($E25&lt;=AP$6,ROUNDDOWN(($F25-$E25+1)*$G25,0)+$E25-1&gt;=AP$6)</formula>
    </cfRule>
    <cfRule type="expression" dxfId="38" priority="40">
      <formula>AND(NOT(ISBLANK($E25)),$E25&lt;=AP$6,$F25&gt;=AP$6)</formula>
    </cfRule>
  </conditionalFormatting>
  <conditionalFormatting sqref="AD17">
    <cfRule type="expression" dxfId="37" priority="41">
      <formula>AND($E26&lt;=AP$6,ROUNDDOWN(($F26-$E26+1)*$H26,0)+$E26-1&gt;=AP$6)</formula>
    </cfRule>
    <cfRule type="expression" dxfId="36" priority="42">
      <formula>AND(NOT(ISBLANK($E26)),$E26&lt;=AP$6,$F26&gt;=AP$6)</formula>
    </cfRule>
  </conditionalFormatting>
  <conditionalFormatting sqref="AD17">
    <cfRule type="expression" dxfId="35" priority="36">
      <formula>AD$6=TODAY()</formula>
    </cfRule>
  </conditionalFormatting>
  <conditionalFormatting sqref="AD17">
    <cfRule type="expression" dxfId="34" priority="35">
      <formula>AP$6=TODAY()</formula>
    </cfRule>
  </conditionalFormatting>
  <conditionalFormatting sqref="AD17">
    <cfRule type="expression" dxfId="33" priority="34">
      <formula>AP$6=TODAY()</formula>
    </cfRule>
  </conditionalFormatting>
  <conditionalFormatting sqref="AD17">
    <cfRule type="expression" dxfId="32" priority="33">
      <formula>AP$6=TODAY()</formula>
    </cfRule>
  </conditionalFormatting>
  <conditionalFormatting sqref="AG18">
    <cfRule type="expression" dxfId="31" priority="29">
      <formula>AND($E26&lt;=AS$6,ROUNDDOWN(($F26-$E26+1)*$G26,0)+$E26-1&gt;=AS$6)</formula>
    </cfRule>
    <cfRule type="expression" dxfId="30" priority="30">
      <formula>AND(NOT(ISBLANK($E26)),$E26&lt;=AS$6,$F26&gt;=AS$6)</formula>
    </cfRule>
  </conditionalFormatting>
  <conditionalFormatting sqref="AG18">
    <cfRule type="expression" dxfId="29" priority="31">
      <formula>AND($E27&lt;=AS$6,ROUNDDOWN(($F27-$E27+1)*$H27,0)+$E27-1&gt;=AS$6)</formula>
    </cfRule>
    <cfRule type="expression" dxfId="28" priority="32">
      <formula>AND(NOT(ISBLANK($E27)),$E27&lt;=AS$6,$F27&gt;=AS$6)</formula>
    </cfRule>
  </conditionalFormatting>
  <conditionalFormatting sqref="AG18">
    <cfRule type="expression" dxfId="27" priority="28">
      <formula>AG$6=TODAY()</formula>
    </cfRule>
  </conditionalFormatting>
  <conditionalFormatting sqref="AG18">
    <cfRule type="expression" dxfId="26" priority="27">
      <formula>AS$6=TODAY()</formula>
    </cfRule>
  </conditionalFormatting>
  <conditionalFormatting sqref="AG18">
    <cfRule type="expression" dxfId="25" priority="26">
      <formula>AS$6=TODAY()</formula>
    </cfRule>
  </conditionalFormatting>
  <conditionalFormatting sqref="AG18">
    <cfRule type="expression" dxfId="24" priority="25">
      <formula>AS$6=TODAY()</formula>
    </cfRule>
  </conditionalFormatting>
  <conditionalFormatting sqref="AH19">
    <cfRule type="expression" dxfId="23" priority="21">
      <formula>AND($E27&lt;=AT$6,ROUNDDOWN(($F27-$E27+1)*$G27,0)+$E27-1&gt;=AT$6)</formula>
    </cfRule>
    <cfRule type="expression" dxfId="22" priority="22">
      <formula>AND(NOT(ISBLANK($E27)),$E27&lt;=AT$6,$F27&gt;=AT$6)</formula>
    </cfRule>
  </conditionalFormatting>
  <conditionalFormatting sqref="AH19">
    <cfRule type="expression" dxfId="21" priority="23">
      <formula>AND($E28&lt;=AT$6,ROUNDDOWN(($F28-$E28+1)*$H28,0)+$E28-1&gt;=AT$6)</formula>
    </cfRule>
    <cfRule type="expression" dxfId="20" priority="24">
      <formula>AND(NOT(ISBLANK($E28)),$E28&lt;=AT$6,$F28&gt;=AT$6)</formula>
    </cfRule>
  </conditionalFormatting>
  <conditionalFormatting sqref="AH19">
    <cfRule type="expression" dxfId="19" priority="20">
      <formula>AH$6=TODAY()</formula>
    </cfRule>
  </conditionalFormatting>
  <conditionalFormatting sqref="AH19">
    <cfRule type="expression" dxfId="18" priority="19">
      <formula>AT$6=TODAY()</formula>
    </cfRule>
  </conditionalFormatting>
  <conditionalFormatting sqref="AH19">
    <cfRule type="expression" dxfId="17" priority="18">
      <formula>AT$6=TODAY()</formula>
    </cfRule>
  </conditionalFormatting>
  <conditionalFormatting sqref="AH19">
    <cfRule type="expression" dxfId="16" priority="17">
      <formula>AT$6=TODAY()</formula>
    </cfRule>
  </conditionalFormatting>
  <conditionalFormatting sqref="AK20">
    <cfRule type="expression" dxfId="15" priority="13">
      <formula>AND($E28&lt;=AW$6,ROUNDDOWN(($F28-$E28+1)*$G28,0)+$E28-1&gt;=AW$6)</formula>
    </cfRule>
    <cfRule type="expression" dxfId="14" priority="14">
      <formula>AND(NOT(ISBLANK($E28)),$E28&lt;=AW$6,$F28&gt;=AW$6)</formula>
    </cfRule>
  </conditionalFormatting>
  <conditionalFormatting sqref="AK20">
    <cfRule type="expression" dxfId="13" priority="15">
      <formula>AND($E29&lt;=AW$6,ROUNDDOWN(($F29-$E29+1)*$H29,0)+$E29-1&gt;=AW$6)</formula>
    </cfRule>
    <cfRule type="expression" dxfId="12" priority="16">
      <formula>AND(NOT(ISBLANK($E29)),$E29&lt;=AW$6,$F29&gt;=AW$6)</formula>
    </cfRule>
  </conditionalFormatting>
  <conditionalFormatting sqref="AK20">
    <cfRule type="expression" dxfId="11" priority="12">
      <formula>AK$6=TODAY()</formula>
    </cfRule>
  </conditionalFormatting>
  <conditionalFormatting sqref="AK20">
    <cfRule type="expression" dxfId="10" priority="11">
      <formula>AW$6=TODAY()</formula>
    </cfRule>
  </conditionalFormatting>
  <conditionalFormatting sqref="AK20">
    <cfRule type="expression" dxfId="9" priority="10">
      <formula>AW$6=TODAY()</formula>
    </cfRule>
  </conditionalFormatting>
  <conditionalFormatting sqref="AK20">
    <cfRule type="expression" dxfId="8" priority="9">
      <formula>AW$6=TODAY()</formula>
    </cfRule>
  </conditionalFormatting>
  <conditionalFormatting sqref="AN21">
    <cfRule type="expression" dxfId="7" priority="5">
      <formula>AND($E29&lt;=AZ$6,ROUNDDOWN(($F29-$E29+1)*$G29,0)+$E29-1&gt;=AZ$6)</formula>
    </cfRule>
    <cfRule type="expression" dxfId="6" priority="6">
      <formula>AND(NOT(ISBLANK($E29)),$E29&lt;=AZ$6,$F29&gt;=AZ$6)</formula>
    </cfRule>
  </conditionalFormatting>
  <conditionalFormatting sqref="AN21">
    <cfRule type="expression" dxfId="5" priority="7">
      <formula>AND($E30&lt;=AZ$6,ROUNDDOWN(($F30-$E30+1)*$H30,0)+$E30-1&gt;=AZ$6)</formula>
    </cfRule>
    <cfRule type="expression" dxfId="4" priority="8">
      <formula>AND(NOT(ISBLANK($E30)),$E30&lt;=AZ$6,$F30&gt;=AZ$6)</formula>
    </cfRule>
  </conditionalFormatting>
  <conditionalFormatting sqref="AN21">
    <cfRule type="expression" dxfId="3" priority="4">
      <formula>AN$6=TODAY()</formula>
    </cfRule>
  </conditionalFormatting>
  <conditionalFormatting sqref="AN21">
    <cfRule type="expression" dxfId="2" priority="3">
      <formula>AZ$6=TODAY()</formula>
    </cfRule>
  </conditionalFormatting>
  <conditionalFormatting sqref="AN21">
    <cfRule type="expression" dxfId="1" priority="2">
      <formula>AZ$6=TODAY()</formula>
    </cfRule>
  </conditionalFormatting>
  <conditionalFormatting sqref="AN21">
    <cfRule type="expression" dxfId="0" priority="1">
      <formula>AZ$6=TODAY()</formula>
    </cfRule>
  </conditionalFormatting>
  <dataValidations disablePrompts="1" count="1">
    <dataValidation allowBlank="1" showInputMessage="1" promptTitle="Display Week" prompt="Enter the week number to display first in the Gantt Chart. The weeks are numbered starting from the week containing the Project Start Date." sqref="H4" xr:uid="{2A1EE64C-F34D-48E0-90C8-3BE6BF7F3D0A}"/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BC3163-31B5-4D32-850A-B122219B0D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H8 H10 G9</xm:sqref>
        </x14:conditionalFormatting>
        <x14:conditionalFormatting xmlns:xm="http://schemas.microsoft.com/office/excel/2006/main">
          <x14:cfRule type="dataBar" id="{0ADE128C-D510-45BA-A15C-23E905039C3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G11 G13</xm:sqref>
        </x14:conditionalFormatting>
        <x14:conditionalFormatting xmlns:xm="http://schemas.microsoft.com/office/excel/2006/main">
          <x14:cfRule type="dataBar" id="{63C889CC-6B43-40FE-99E3-F3FBEEDDAC4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G15</xm:sqref>
        </x14:conditionalFormatting>
        <x14:conditionalFormatting xmlns:xm="http://schemas.microsoft.com/office/excel/2006/main">
          <x14:cfRule type="dataBar" id="{67628C50-517E-4FF9-BE1F-1E493C70577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dataBar" id="{EF5CA769-97C1-4F0C-AEE8-939C789B9F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dataBar" id="{4F60523D-A698-4D76-880F-9E605B9BB6D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G18</xm:sqref>
        </x14:conditionalFormatting>
        <x14:conditionalFormatting xmlns:xm="http://schemas.microsoft.com/office/excel/2006/main">
          <x14:cfRule type="dataBar" id="{C7AAFDCF-DAF2-442A-A564-9AE81BD74B8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G21</xm:sqref>
        </x14:conditionalFormatting>
        <x14:conditionalFormatting xmlns:xm="http://schemas.microsoft.com/office/excel/2006/main">
          <x14:cfRule type="dataBar" id="{06846E42-72C5-42EF-90CF-4B934C2EBA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dataBar" id="{C3B42B3E-2608-4DF7-9D1E-6A4F332F24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G20</xm:sqref>
        </x14:conditionalFormatting>
        <x14:conditionalFormatting xmlns:xm="http://schemas.microsoft.com/office/excel/2006/main">
          <x14:cfRule type="dataBar" id="{7ECC8515-C9BF-4398-A0FF-AC56B3664D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G19</xm:sqref>
        </x14:conditionalFormatting>
        <x14:conditionalFormatting xmlns:xm="http://schemas.microsoft.com/office/excel/2006/main">
          <x14:cfRule type="dataBar" id="{770B330A-EC01-4F51-8C63-9D3D67A7C4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Sayfa1!prevWBS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yalım</dc:creator>
  <cp:lastModifiedBy>burak yalım</cp:lastModifiedBy>
  <dcterms:created xsi:type="dcterms:W3CDTF">2015-06-05T18:19:34Z</dcterms:created>
  <dcterms:modified xsi:type="dcterms:W3CDTF">2026-07-02T21:51:00Z</dcterms:modified>
</cp:coreProperties>
</file>