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yithan\Desktop\BARFAS\myProjects\2_Smart_Gateway\Docs\"/>
    </mc:Choice>
  </mc:AlternateContent>
  <xr:revisionPtr revIDLastSave="0" documentId="13_ncr:1_{2D0E6DD1-08D1-4D95-80A9-949BA161B1AB}" xr6:coauthVersionLast="47" xr6:coauthVersionMax="47" xr10:uidLastSave="{00000000-0000-0000-0000-000000000000}"/>
  <bookViews>
    <workbookView xWindow="20370" yWindow="-8865" windowWidth="29040" windowHeight="15840" xr2:uid="{CDEE8A52-EBE7-4A2F-825E-9A1F75BD27D1}"/>
  </bookViews>
  <sheets>
    <sheet name="Sayf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</calcChain>
</file>

<file path=xl/sharedStrings.xml><?xml version="1.0" encoding="utf-8"?>
<sst xmlns="http://schemas.openxmlformats.org/spreadsheetml/2006/main" count="78" uniqueCount="49">
  <si>
    <t>Durum</t>
  </si>
  <si>
    <t>Başlatılmadı</t>
  </si>
  <si>
    <t>TOPLAM Çalışma Süresi (Saat)</t>
  </si>
  <si>
    <t>Onloi Smart Gateway  Gömülü Donanım ve Yazılım İş Planı</t>
  </si>
  <si>
    <t>Donanım Geliştirme</t>
  </si>
  <si>
    <t>Bulut Entegrasyonu</t>
  </si>
  <si>
    <t>Bluetooth (BLE) Geliştirmeleri</t>
  </si>
  <si>
    <t>İş Paketi</t>
  </si>
  <si>
    <t>İş Paketi Detayı</t>
  </si>
  <si>
    <t>Tahmini Süre</t>
  </si>
  <si>
    <t>Sistem Mimarisi ve Devre Şeması</t>
  </si>
  <si>
    <t>PCB (Baskı Devre) Tasarımı</t>
  </si>
  <si>
    <t>Prototip Üretimi ve Donanım Testi</t>
  </si>
  <si>
    <t>Ağ Yedekleme (Failover) Modülü</t>
  </si>
  <si>
    <t>Yerel Yönetim Arayüzü (Web GUI)</t>
  </si>
  <si>
    <t>Güvenli MQTT İstemcisi</t>
  </si>
  <si>
    <t>Uzaktan Yönetim (Remote Management)</t>
  </si>
  <si>
    <t>ESP32-WROOM-32E-N4 MCU, LAN8720A Ethernet Transceiver, güç (USB-C) ve durum göstergelerinin (LED) şematik tasarımı.</t>
  </si>
  <si>
    <t>Endüstriyel standartlarda kompakt yerleşim, yüksek hızlı RMII Ethernet sinyal hatları ve Wi-Fi/Bluetooth anten empedans uyumlaması.</t>
  </si>
  <si>
    <t>Kullanıcıların cihaz ağ ayarlarını yapabilmesi için erişim noktası (AP mode) üzerinden çalışan lokal yapılandırma web sayfası.</t>
  </si>
  <si>
    <t>Sistem loglarının tutulması ve cihazın bulut üzerinden yeniden başlatılması (Restart) gibi yönetim komutlarının MQTT üzerinden işlenmesi.</t>
  </si>
  <si>
    <t>Proje Seviyesi</t>
  </si>
  <si>
    <t>Level-1</t>
  </si>
  <si>
    <t>Level-2</t>
  </si>
  <si>
    <t>Level-3</t>
  </si>
  <si>
    <t>Level-4</t>
  </si>
  <si>
    <t>Level-5</t>
  </si>
  <si>
    <t>İlk dizgi, güç kararlılığı (Brownout) testleri ve LAN osilatör ölçümleri.</t>
  </si>
  <si>
    <t>RTOS Görev Mimarisi ve Watchdog (WDT)</t>
  </si>
  <si>
    <t>FreeRTOS task önceliklendirmesi (Ethernet &gt; BLE &gt; MQTT) ve donanımsal kilitlenme önleyici (Hardware Watchdog) entegrasyonu.</t>
  </si>
  <si>
    <t>Heap Memory ve Stres Testleri</t>
  </si>
  <si>
    <t>Uzun süreli (uptime) çalışmalarda MQTT ve BLE modüllerinin oluşturabileceği bellek sızıntılarının (memory leak) engellenmesi ve optimizasyonu.</t>
  </si>
  <si>
    <t>Level-6</t>
  </si>
  <si>
    <t>BLE Central (GATT İletişimi)</t>
  </si>
  <si>
    <t>Hedef cihazlarla bağlantı kurulması, Service/Characteristic UUID'lerinin okunması ve cihazlara eylem komutlarının yazılması.</t>
  </si>
  <si>
    <t>BLE Observer (Tarama ve Beacon)</t>
  </si>
  <si>
    <t>Ortamdaki reklam (advertising) paketlerinin taranması, iBeacon ve Eddystone (UID/URL) formatlarının JSON'a ayrıştırılması.</t>
  </si>
  <si>
    <t>TLS/SSL sertifikalarıyla şifrelenmiş MQTT iletişiminin kurulması ve uzak yönetim (Remote Restart vb.) komutlarının işlenmesi.</t>
  </si>
  <si>
    <t>Ethernet koptuğunda Wi-Fi'ye geçiş algoritmaları ve kurulum için Web GUI barındıran AP (Access Point) modunun yazılması.</t>
  </si>
  <si>
    <t>OTA (Over-The-Air) Güncelleme Altyapısı</t>
  </si>
  <si>
    <t>Cihazın sahada sökülmeden Ethernet/Wi-Fi üzerinden güvenli firmware güncellemesi (A/B Partition) alabilmesi için altyapı kurulumu.</t>
  </si>
  <si>
    <t>Kalıcı Bellek (NVS) Yönetimi</t>
  </si>
  <si>
    <t>Wi-Fi kimlik bilgileri, bulut sertifikaları ve kullanıcı ayarlarının Flash bellek üzerinde şifreli ve aşınma kontrollü (wear-leveling) saklanması.</t>
  </si>
  <si>
    <t>LAN8720 Ethernet Sürücüsü</t>
  </si>
  <si>
    <t>RMII arayüzünün ayağa kaldırılması, MDIO/MDC saat ayarları ve link up/down donanım kesmelerinin (interrupt) yazılması.</t>
  </si>
  <si>
    <t>Çekirdek Gömülü Yazılım (Core Embedded)</t>
  </si>
  <si>
    <t>Ağ Sürücüleri ve Haberleşme</t>
  </si>
  <si>
    <t>Sistem Doğrulama ve Optimizasyon</t>
  </si>
  <si>
    <t>İş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</si>
</sst>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4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2" fontId="0" fillId="5" borderId="0" xfId="0" applyNumberFormat="1" applyFill="1" applyAlignment="1">
      <alignment horizontal="left" vertical="center"/>
    </xf>
    <xf numFmtId="0" fontId="4" fillId="4" borderId="15" xfId="0" applyFont="1" applyFill="1" applyBorder="1" applyAlignment="1">
      <alignment horizontal="center" vertical="center" wrapText="1"/>
    </xf>
    <xf numFmtId="2" fontId="4" fillId="4" borderId="16" xfId="0" applyNumberFormat="1" applyFont="1" applyFill="1" applyBorder="1" applyAlignment="1">
      <alignment horizontal="left" vertical="center" wrapText="1"/>
    </xf>
    <xf numFmtId="0" fontId="4" fillId="4" borderId="17" xfId="0" applyFont="1" applyFill="1" applyBorder="1" applyAlignment="1">
      <alignment vertical="center" wrapText="1"/>
    </xf>
    <xf numFmtId="2" fontId="4" fillId="4" borderId="16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2" fontId="3" fillId="6" borderId="3" xfId="0" applyNumberFormat="1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3" xfId="0" applyNumberFormat="1" applyFont="1" applyFill="1" applyBorder="1" applyAlignment="1">
      <alignment horizontal="left" vertical="center" wrapText="1"/>
    </xf>
    <xf numFmtId="1" fontId="3" fillId="6" borderId="3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5" xfId="0" applyNumberFormat="1" applyFont="1" applyFill="1" applyBorder="1" applyAlignment="1">
      <alignment horizontal="left" vertical="center" wrapText="1"/>
    </xf>
    <xf numFmtId="1" fontId="3" fillId="6" borderId="5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2" fontId="3" fillId="6" borderId="7" xfId="0" applyNumberFormat="1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vertical="center" wrapText="1"/>
    </xf>
    <xf numFmtId="0" fontId="3" fillId="6" borderId="7" xfId="0" applyNumberFormat="1" applyFont="1" applyFill="1" applyBorder="1" applyAlignment="1">
      <alignment horizontal="left" vertical="center" wrapText="1"/>
    </xf>
    <xf numFmtId="1" fontId="3" fillId="6" borderId="7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2" fontId="2" fillId="3" borderId="19" xfId="0" applyNumberFormat="1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left" wrapText="1"/>
    </xf>
    <xf numFmtId="2" fontId="2" fillId="3" borderId="19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2" fontId="3" fillId="7" borderId="3" xfId="0" applyNumberFormat="1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vertical="center" wrapText="1"/>
    </xf>
    <xf numFmtId="0" fontId="3" fillId="7" borderId="3" xfId="0" applyNumberFormat="1" applyFont="1" applyFill="1" applyBorder="1" applyAlignment="1">
      <alignment horizontal="left" vertical="center" wrapText="1"/>
    </xf>
    <xf numFmtId="1" fontId="3" fillId="7" borderId="3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2" fontId="3" fillId="7" borderId="5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5" xfId="0" applyNumberFormat="1" applyFont="1" applyFill="1" applyBorder="1" applyAlignment="1">
      <alignment horizontal="left" vertical="center" wrapText="1"/>
    </xf>
    <xf numFmtId="1" fontId="3" fillId="7" borderId="5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2" fontId="3" fillId="7" borderId="7" xfId="0" applyNumberFormat="1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7" xfId="0" applyNumberFormat="1" applyFont="1" applyFill="1" applyBorder="1" applyAlignment="1">
      <alignment horizontal="left" vertical="center" wrapText="1"/>
    </xf>
    <xf numFmtId="1" fontId="3" fillId="7" borderId="7" xfId="0" applyNumberFormat="1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2" fontId="3" fillId="7" borderId="22" xfId="0" applyNumberFormat="1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22" xfId="0" applyNumberFormat="1" applyFont="1" applyFill="1" applyBorder="1" applyAlignment="1">
      <alignment horizontal="left" vertical="center" wrapText="1"/>
    </xf>
    <xf numFmtId="1" fontId="3" fillId="7" borderId="2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1637-A103-4915-AEDD-4002FAB684F4}">
  <dimension ref="B1:G17"/>
  <sheetViews>
    <sheetView tabSelected="1" zoomScale="85" zoomScaleNormal="85" workbookViewId="0">
      <selection activeCell="F11" sqref="F11"/>
    </sheetView>
  </sheetViews>
  <sheetFormatPr defaultRowHeight="15" x14ac:dyDescent="0.25"/>
  <cols>
    <col min="1" max="1" width="9.140625" style="3"/>
    <col min="2" max="2" width="14.7109375" style="5" customWidth="1"/>
    <col min="3" max="3" width="45.140625" style="11" customWidth="1"/>
    <col min="4" max="4" width="44.5703125" style="3" customWidth="1"/>
    <col min="5" max="5" width="140.42578125" style="11" customWidth="1"/>
    <col min="6" max="6" width="16.28515625" style="6" customWidth="1"/>
    <col min="7" max="7" width="14.28515625" style="7" bestFit="1" customWidth="1"/>
    <col min="8" max="16384" width="9.140625" style="3"/>
  </cols>
  <sheetData>
    <row r="1" spans="2:7" ht="35.25" customHeight="1" thickBot="1" x14ac:dyDescent="0.3">
      <c r="B1" s="8" t="s">
        <v>3</v>
      </c>
      <c r="C1" s="9"/>
      <c r="D1" s="9"/>
      <c r="E1" s="9"/>
      <c r="F1" s="9"/>
      <c r="G1" s="10"/>
    </row>
    <row r="2" spans="2:7" ht="16.5" thickBot="1" x14ac:dyDescent="0.3">
      <c r="B2" s="12" t="s">
        <v>21</v>
      </c>
      <c r="C2" s="13" t="s">
        <v>48</v>
      </c>
      <c r="D2" s="14" t="s">
        <v>7</v>
      </c>
      <c r="E2" s="13" t="s">
        <v>8</v>
      </c>
      <c r="F2" s="15" t="s">
        <v>9</v>
      </c>
      <c r="G2" s="1" t="s">
        <v>0</v>
      </c>
    </row>
    <row r="3" spans="2:7" ht="15.75" x14ac:dyDescent="0.25">
      <c r="B3" s="16" t="s">
        <v>22</v>
      </c>
      <c r="C3" s="17" t="s">
        <v>4</v>
      </c>
      <c r="D3" s="18" t="s">
        <v>10</v>
      </c>
      <c r="E3" s="19" t="s">
        <v>17</v>
      </c>
      <c r="F3" s="20">
        <v>5</v>
      </c>
      <c r="G3" s="2" t="s">
        <v>1</v>
      </c>
    </row>
    <row r="4" spans="2:7" ht="15.75" x14ac:dyDescent="0.25">
      <c r="B4" s="21" t="s">
        <v>22</v>
      </c>
      <c r="C4" s="22" t="s">
        <v>4</v>
      </c>
      <c r="D4" s="23" t="s">
        <v>11</v>
      </c>
      <c r="E4" s="24" t="s">
        <v>18</v>
      </c>
      <c r="F4" s="25">
        <v>10</v>
      </c>
      <c r="G4" s="2" t="s">
        <v>1</v>
      </c>
    </row>
    <row r="5" spans="2:7" ht="16.5" thickBot="1" x14ac:dyDescent="0.3">
      <c r="B5" s="26" t="s">
        <v>22</v>
      </c>
      <c r="C5" s="27" t="s">
        <v>4</v>
      </c>
      <c r="D5" s="28" t="s">
        <v>12</v>
      </c>
      <c r="E5" s="29" t="s">
        <v>27</v>
      </c>
      <c r="F5" s="30">
        <v>16</v>
      </c>
      <c r="G5" s="2" t="s">
        <v>1</v>
      </c>
    </row>
    <row r="6" spans="2:7" ht="15.75" x14ac:dyDescent="0.25">
      <c r="B6" s="35" t="s">
        <v>23</v>
      </c>
      <c r="C6" s="36" t="s">
        <v>45</v>
      </c>
      <c r="D6" s="37" t="s">
        <v>28</v>
      </c>
      <c r="E6" s="38" t="s">
        <v>29</v>
      </c>
      <c r="F6" s="39">
        <v>12</v>
      </c>
      <c r="G6" s="2" t="s">
        <v>1</v>
      </c>
    </row>
    <row r="7" spans="2:7" ht="15.75" x14ac:dyDescent="0.25">
      <c r="B7" s="40" t="s">
        <v>23</v>
      </c>
      <c r="C7" s="41" t="s">
        <v>45</v>
      </c>
      <c r="D7" s="42" t="s">
        <v>41</v>
      </c>
      <c r="E7" s="43" t="s">
        <v>42</v>
      </c>
      <c r="F7" s="44">
        <v>16</v>
      </c>
      <c r="G7" s="2" t="s">
        <v>1</v>
      </c>
    </row>
    <row r="8" spans="2:7" ht="16.5" thickBot="1" x14ac:dyDescent="0.3">
      <c r="B8" s="45" t="s">
        <v>23</v>
      </c>
      <c r="C8" s="46" t="s">
        <v>45</v>
      </c>
      <c r="D8" s="47" t="s">
        <v>43</v>
      </c>
      <c r="E8" s="48" t="s">
        <v>44</v>
      </c>
      <c r="F8" s="49">
        <v>16</v>
      </c>
      <c r="G8" s="2" t="s">
        <v>1</v>
      </c>
    </row>
    <row r="9" spans="2:7" ht="15.75" x14ac:dyDescent="0.25">
      <c r="B9" s="16" t="s">
        <v>24</v>
      </c>
      <c r="C9" s="17" t="s">
        <v>46</v>
      </c>
      <c r="D9" s="18" t="s">
        <v>13</v>
      </c>
      <c r="E9" s="19" t="s">
        <v>38</v>
      </c>
      <c r="F9" s="20">
        <v>19</v>
      </c>
      <c r="G9" s="2" t="s">
        <v>1</v>
      </c>
    </row>
    <row r="10" spans="2:7" ht="15.75" x14ac:dyDescent="0.25">
      <c r="B10" s="21" t="s">
        <v>24</v>
      </c>
      <c r="C10" s="22" t="s">
        <v>46</v>
      </c>
      <c r="D10" s="23" t="s">
        <v>14</v>
      </c>
      <c r="E10" s="24" t="s">
        <v>19</v>
      </c>
      <c r="F10" s="25">
        <v>16</v>
      </c>
      <c r="G10" s="2" t="s">
        <v>1</v>
      </c>
    </row>
    <row r="11" spans="2:7" ht="16.5" thickBot="1" x14ac:dyDescent="0.3">
      <c r="B11" s="26" t="s">
        <v>24</v>
      </c>
      <c r="C11" s="27" t="s">
        <v>46</v>
      </c>
      <c r="D11" s="28" t="s">
        <v>15</v>
      </c>
      <c r="E11" s="29" t="s">
        <v>37</v>
      </c>
      <c r="F11" s="30">
        <v>16</v>
      </c>
      <c r="G11" s="2" t="s">
        <v>1</v>
      </c>
    </row>
    <row r="12" spans="2:7" ht="15.75" x14ac:dyDescent="0.25">
      <c r="B12" s="35" t="s">
        <v>25</v>
      </c>
      <c r="C12" s="36" t="s">
        <v>5</v>
      </c>
      <c r="D12" s="37" t="s">
        <v>16</v>
      </c>
      <c r="E12" s="38" t="s">
        <v>20</v>
      </c>
      <c r="F12" s="39">
        <v>12</v>
      </c>
      <c r="G12" s="2" t="s">
        <v>1</v>
      </c>
    </row>
    <row r="13" spans="2:7" ht="16.5" thickBot="1" x14ac:dyDescent="0.3">
      <c r="B13" s="45" t="s">
        <v>25</v>
      </c>
      <c r="C13" s="46" t="s">
        <v>5</v>
      </c>
      <c r="D13" s="47" t="s">
        <v>39</v>
      </c>
      <c r="E13" s="48" t="s">
        <v>40</v>
      </c>
      <c r="F13" s="49">
        <v>20</v>
      </c>
      <c r="G13" s="2" t="s">
        <v>1</v>
      </c>
    </row>
    <row r="14" spans="2:7" ht="15.75" x14ac:dyDescent="0.25">
      <c r="B14" s="21" t="s">
        <v>26</v>
      </c>
      <c r="C14" s="22" t="s">
        <v>6</v>
      </c>
      <c r="D14" s="23" t="s">
        <v>35</v>
      </c>
      <c r="E14" s="24" t="s">
        <v>36</v>
      </c>
      <c r="F14" s="25">
        <v>16</v>
      </c>
      <c r="G14" s="2" t="s">
        <v>1</v>
      </c>
    </row>
    <row r="15" spans="2:7" ht="16.5" thickBot="1" x14ac:dyDescent="0.3">
      <c r="B15" s="26" t="s">
        <v>26</v>
      </c>
      <c r="C15" s="27" t="s">
        <v>6</v>
      </c>
      <c r="D15" s="28" t="s">
        <v>33</v>
      </c>
      <c r="E15" s="29" t="s">
        <v>34</v>
      </c>
      <c r="F15" s="30">
        <v>25</v>
      </c>
      <c r="G15" s="2" t="s">
        <v>1</v>
      </c>
    </row>
    <row r="16" spans="2:7" ht="16.5" thickBot="1" x14ac:dyDescent="0.3">
      <c r="B16" s="50" t="s">
        <v>32</v>
      </c>
      <c r="C16" s="51" t="s">
        <v>47</v>
      </c>
      <c r="D16" s="52" t="s">
        <v>30</v>
      </c>
      <c r="E16" s="53" t="s">
        <v>31</v>
      </c>
      <c r="F16" s="54">
        <v>16</v>
      </c>
      <c r="G16" s="2" t="s">
        <v>1</v>
      </c>
    </row>
    <row r="17" spans="2:7" ht="16.5" customHeight="1" thickBot="1" x14ac:dyDescent="0.3">
      <c r="B17" s="31"/>
      <c r="C17" s="32"/>
      <c r="E17" s="33" t="s">
        <v>2</v>
      </c>
      <c r="F17" s="34">
        <f>SUM(F3:F16)</f>
        <v>215</v>
      </c>
      <c r="G17" s="4"/>
    </row>
  </sheetData>
  <mergeCells count="1">
    <mergeCell ref="B1:G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2026-03-07T10:02:01Z</dcterms:created>
  <dcterms:modified xsi:type="dcterms:W3CDTF">2026-05-09T12:16:47Z</dcterms:modified>
</cp:coreProperties>
</file>