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arfas_Projects\Barfas_Projects\myProjects\2_Smart_Gateway\Hardware\REV1.0\Project Outputs for MTAMR_BOT_R03\ASSY-FILES\BOM\"/>
    </mc:Choice>
  </mc:AlternateContent>
  <xr:revisionPtr revIDLastSave="0" documentId="13_ncr:1_{095063DB-05BA-4F8E-9638-D5982E107E4C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2" i="1" l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</calcChain>
</file>

<file path=xl/sharedStrings.xml><?xml version="1.0" encoding="utf-8"?>
<sst xmlns="http://schemas.openxmlformats.org/spreadsheetml/2006/main" count="136" uniqueCount="122">
  <si>
    <t>Bill of Materials</t>
  </si>
  <si>
    <t>Notes</t>
  </si>
  <si>
    <t>#</t>
  </si>
  <si>
    <t>Engineer:</t>
  </si>
  <si>
    <t>Variant:</t>
  </si>
  <si>
    <t>Report Date:</t>
  </si>
  <si>
    <t>Report Time:</t>
  </si>
  <si>
    <t>PCB Revision</t>
  </si>
  <si>
    <t>Barfas</t>
  </si>
  <si>
    <t>Smart Bluetooth Gateway</t>
  </si>
  <si>
    <t>V1.0</t>
  </si>
  <si>
    <t>Burak YALIM</t>
  </si>
  <si>
    <t>None</t>
  </si>
  <si>
    <t>26.06.2026</t>
  </si>
  <si>
    <t>23:18</t>
  </si>
  <si>
    <t>46</t>
  </si>
  <si>
    <t>Designator</t>
  </si>
  <si>
    <t>C1, C2, C5</t>
  </si>
  <si>
    <t>C3, C4, C6</t>
  </si>
  <si>
    <t>C7, C8</t>
  </si>
  <si>
    <t>D1, D2, D3, D7, D8, D9</t>
  </si>
  <si>
    <t>D4, D10</t>
  </si>
  <si>
    <t>D5, D6, D11</t>
  </si>
  <si>
    <t>J1</t>
  </si>
  <si>
    <t>J2, J3</t>
  </si>
  <si>
    <t>Q1, Q2</t>
  </si>
  <si>
    <t>R1, R2, R3, R6, R8, R9, R10, R11, R15</t>
  </si>
  <si>
    <t>R4, R5, R17</t>
  </si>
  <si>
    <t>R7</t>
  </si>
  <si>
    <t>R12</t>
  </si>
  <si>
    <t>R13</t>
  </si>
  <si>
    <t>R14</t>
  </si>
  <si>
    <t>R16, R33</t>
  </si>
  <si>
    <t>SW1</t>
  </si>
  <si>
    <t>U1</t>
  </si>
  <si>
    <t>U2</t>
  </si>
  <si>
    <t>U3</t>
  </si>
  <si>
    <t>Description</t>
  </si>
  <si>
    <t>CAP CER 10UF 16VDC %10 X5R SMD</t>
  </si>
  <si>
    <t>CAP CER 100nF 50VDC %10 X7R SMD</t>
  </si>
  <si>
    <t>CAP CER 1UF 25VDC %10 X5R SMD</t>
  </si>
  <si>
    <t>TVS Diode (Bi-directional)</t>
  </si>
  <si>
    <t>DIODE SCHOTTKY 40V 1A SOD123</t>
  </si>
  <si>
    <t>LED GREEN WATER CLEAR 0603 SMD</t>
  </si>
  <si>
    <t>Connector</t>
  </si>
  <si>
    <t>TRANSISTOR NPN 40V 0.2A SOT23-3</t>
  </si>
  <si>
    <t>RES 0603 10k Ohms %1 1/10W 100PPM</t>
  </si>
  <si>
    <t>RES.(1608) 0603 3.3K Ohms 1% 1/10W 100PPM SMT</t>
  </si>
  <si>
    <t>RES.(1608) 0603 510 Ohms 5% 1/10W-S 100PPM</t>
  </si>
  <si>
    <t>RES.(1608) 0603 21.5K Ohms 1% 1/10W-S 100PPM</t>
  </si>
  <si>
    <t>RES 0603 1K Ohms 1% 1/10W-S 100PPM</t>
  </si>
  <si>
    <t>RES 0603 47K Ohms 1% 1/10W-S 100PPM</t>
  </si>
  <si>
    <t>RES SMD 2.2M OHM 1% 1/8W 0805</t>
  </si>
  <si>
    <t>Switch</t>
  </si>
  <si>
    <t>Integrated Circuit</t>
  </si>
  <si>
    <t>Footprint</t>
  </si>
  <si>
    <t>CAP_0805</t>
  </si>
  <si>
    <t>CAP_0603</t>
  </si>
  <si>
    <t>SODFL3718X130N</t>
  </si>
  <si>
    <t>SOD-123</t>
  </si>
  <si>
    <t>LED_0603_GRN</t>
  </si>
  <si>
    <t>HDRV5W64P0X254_1X5_1270X254X864P</t>
  </si>
  <si>
    <t>12401598E42A</t>
  </si>
  <si>
    <t>SOT23</t>
  </si>
  <si>
    <t>RES_0603</t>
  </si>
  <si>
    <t>R0603</t>
  </si>
  <si>
    <t>RES_0805</t>
  </si>
  <si>
    <t>TS32735BKB160RAHSMTTR</t>
  </si>
  <si>
    <t>SOT229P700X180-4N</t>
  </si>
  <si>
    <t>ESP32C6WROOM1N4</t>
  </si>
  <si>
    <t>QFN50P500X500X80-29N-D</t>
  </si>
  <si>
    <t>Value</t>
  </si>
  <si>
    <t>10uF</t>
  </si>
  <si>
    <t>100nF</t>
  </si>
  <si>
    <t>1uF</t>
  </si>
  <si>
    <t>40V 1A</t>
  </si>
  <si>
    <t>GREEN</t>
  </si>
  <si>
    <t>40V 0.2A</t>
  </si>
  <si>
    <t>10K</t>
  </si>
  <si>
    <t>3.3K</t>
  </si>
  <si>
    <t>510R</t>
  </si>
  <si>
    <t>21.5K</t>
  </si>
  <si>
    <t>1K</t>
  </si>
  <si>
    <t>47K</t>
  </si>
  <si>
    <t>2.2M</t>
  </si>
  <si>
    <t>Manufacturer</t>
  </si>
  <si>
    <t>Samsung</t>
  </si>
  <si>
    <t>Comchip Technology</t>
  </si>
  <si>
    <t>Nexperia USA Inc.</t>
  </si>
  <si>
    <t>HONGLITRONIC</t>
  </si>
  <si>
    <t>Harwin</t>
  </si>
  <si>
    <t>Amphenol</t>
  </si>
  <si>
    <t>Diodes Incorporated</t>
  </si>
  <si>
    <t>ROYALOHM</t>
  </si>
  <si>
    <t>YAGEO</t>
  </si>
  <si>
    <t>Yageo</t>
  </si>
  <si>
    <t>Same Sky</t>
  </si>
  <si>
    <t>Advanced</t>
  </si>
  <si>
    <t>Espressif Systems</t>
  </si>
  <si>
    <t>Silicon Labs</t>
  </si>
  <si>
    <t>Manufacturer Part Number</t>
  </si>
  <si>
    <t>CL21A106KOQNNNE</t>
  </si>
  <si>
    <t>CL10B104KB8NNNL</t>
  </si>
  <si>
    <t>CL10A105KA8NNNC</t>
  </si>
  <si>
    <t>ATV02W5V0B-HF</t>
  </si>
  <si>
    <t>PMEG4010EGWJ</t>
  </si>
  <si>
    <t>PSC-1608U52GC-G4</t>
  </si>
  <si>
    <t>M20-9990546</t>
  </si>
  <si>
    <t>12401598E4#2A</t>
  </si>
  <si>
    <t>MMBT3904-7-F</t>
  </si>
  <si>
    <t>0603SAF1002T5E</t>
  </si>
  <si>
    <t>RC0603FR-073K74L</t>
  </si>
  <si>
    <t>0603SAJ0511T5E</t>
  </si>
  <si>
    <t>0603SAF2152T5E</t>
  </si>
  <si>
    <t>0603SAF1001T5E</t>
  </si>
  <si>
    <t>0603SAF4702T5E</t>
  </si>
  <si>
    <t>RC0805FR-072M2L</t>
  </si>
  <si>
    <t>TS32-7-35-BK-B-260-RA-SMT-TR</t>
  </si>
  <si>
    <t>AMS1117-3.3</t>
  </si>
  <si>
    <t>ESP32-C6-WROOM-1-N4</t>
  </si>
  <si>
    <t>CP2102N-A01-GQFN28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</si>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</sst>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i/>
      <sz val="12"/>
      <name val="Arial"/>
      <family val="2"/>
    </font>
    <font>
      <b/>
      <i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5CA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0" xfId="0" applyFont="1" applyFill="1" applyBorder="1"/>
    <xf numFmtId="0" fontId="2" fillId="0" borderId="0" xfId="0" applyFont="1" applyFill="1"/>
    <xf numFmtId="0" fontId="4" fillId="0" borderId="0" xfId="1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6" fillId="0" borderId="2" xfId="0" applyFont="1" applyBorder="1"/>
    <xf numFmtId="0" fontId="6" fillId="0" borderId="9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7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8" fillId="4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3" xfId="0" applyFont="1" applyFill="1" applyBorder="1" applyAlignment="1">
      <alignment horizontal="center" vertical="center"/>
    </xf>
    <xf numFmtId="0" fontId="3" fillId="0" borderId="0" xfId="0" quotePrefix="1" applyFont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6" fillId="0" borderId="0" xfId="0" quotePrefix="1" applyFont="1" applyFill="1" applyBorder="1" applyAlignment="1">
      <alignment horizontal="left"/>
    </xf>
    <xf numFmtId="0" fontId="6" fillId="0" borderId="0" xfId="0" quotePrefix="1" applyFont="1" applyBorder="1" applyAlignment="1">
      <alignment horizontal="left"/>
    </xf>
    <xf numFmtId="0" fontId="6" fillId="0" borderId="14" xfId="0" quotePrefix="1" applyFont="1" applyBorder="1" applyAlignment="1">
      <alignment vertical="center"/>
    </xf>
    <xf numFmtId="0" fontId="3" fillId="0" borderId="0" xfId="0" applyFont="1" applyBorder="1" applyAlignment="1">
      <alignment horizontal="right" vertical="center" wrapText="1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colors>
    <mruColors>
      <color rgb="FFC5CA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9"/>
  <sheetViews>
    <sheetView showGridLines="0" tabSelected="1" zoomScale="70" zoomScaleNormal="70" workbookViewId="0">
      <pane ySplit="12" topLeftCell="A13" activePane="bottomLeft" state="frozen"/>
      <selection pane="bottomLeft" activeCell="H29" sqref="H29"/>
    </sheetView>
  </sheetViews>
  <sheetFormatPr defaultRowHeight="14.25" x14ac:dyDescent="0.2"/>
  <cols>
    <col min="1" max="1" width="2.42578125" style="1" customWidth="1"/>
    <col min="2" max="2" width="3.85546875" style="1" customWidth="1"/>
    <col min="3" max="3" width="44.5703125" style="1" bestFit="1" customWidth="1"/>
    <col min="4" max="4" width="49.140625" style="1" bestFit="1" customWidth="1"/>
    <col min="5" max="5" width="37.85546875" style="1" bestFit="1" customWidth="1"/>
    <col min="6" max="6" width="9.140625" style="1" bestFit="1" customWidth="1"/>
    <col min="7" max="7" width="19.7109375" style="1" bestFit="1" customWidth="1"/>
    <col min="8" max="8" width="30" style="1" bestFit="1" customWidth="1"/>
    <col min="9" max="9" width="9.5703125" style="1" bestFit="1" customWidth="1"/>
    <col min="10" max="10" width="4.28515625" style="1" customWidth="1"/>
    <col min="11" max="16384" width="9.140625" style="1"/>
  </cols>
  <sheetData>
    <row r="1" spans="1:11" ht="9.75" customHeight="1" x14ac:dyDescent="0.2">
      <c r="C1" s="2"/>
      <c r="D1" s="3"/>
      <c r="E1" s="3"/>
      <c r="F1" s="3"/>
      <c r="G1" s="3"/>
      <c r="H1" s="3"/>
      <c r="I1" s="3"/>
      <c r="J1" s="4"/>
    </row>
    <row r="2" spans="1:11" ht="9.75" customHeight="1" x14ac:dyDescent="0.2">
      <c r="A2" s="2"/>
      <c r="B2" s="2"/>
      <c r="D2" s="3"/>
      <c r="E2" s="3"/>
      <c r="F2" s="3"/>
      <c r="G2" s="3"/>
      <c r="H2" s="3"/>
      <c r="I2" s="3"/>
      <c r="J2" s="3"/>
      <c r="K2" s="2"/>
    </row>
    <row r="3" spans="1:11" ht="23.25" customHeight="1" x14ac:dyDescent="0.2">
      <c r="A3" s="2"/>
      <c r="B3" s="2"/>
      <c r="C3" s="31" t="s">
        <v>9</v>
      </c>
      <c r="D3" s="5" t="s">
        <v>0</v>
      </c>
      <c r="E3" s="3"/>
      <c r="F3" s="3"/>
      <c r="G3" s="3"/>
      <c r="H3" s="3"/>
      <c r="I3" s="3"/>
      <c r="J3" s="3"/>
      <c r="K3" s="2"/>
    </row>
    <row r="4" spans="1:11" ht="17.25" customHeight="1" x14ac:dyDescent="0.2">
      <c r="A4" s="2"/>
      <c r="B4" s="2"/>
      <c r="C4" s="21" t="s">
        <v>7</v>
      </c>
      <c r="D4" s="32" t="s">
        <v>10</v>
      </c>
      <c r="G4" s="3"/>
      <c r="H4" s="3"/>
      <c r="I4" s="3"/>
      <c r="J4" s="3"/>
      <c r="K4" s="2"/>
    </row>
    <row r="5" spans="1:11" ht="17.25" customHeight="1" x14ac:dyDescent="0.2">
      <c r="A5" s="2"/>
      <c r="B5" s="2"/>
      <c r="C5" s="21"/>
      <c r="D5" s="6"/>
      <c r="G5" s="3"/>
      <c r="H5" s="3"/>
      <c r="I5" s="3"/>
      <c r="J5" s="3"/>
      <c r="K5" s="2"/>
    </row>
    <row r="6" spans="1:11" ht="17.25" customHeight="1" x14ac:dyDescent="0.25">
      <c r="A6" s="2"/>
      <c r="B6" s="2"/>
      <c r="C6" s="22" t="s">
        <v>3</v>
      </c>
      <c r="D6" s="33" t="s">
        <v>11</v>
      </c>
      <c r="G6" s="2"/>
      <c r="H6" s="2"/>
      <c r="I6" s="3"/>
      <c r="J6" s="3"/>
      <c r="K6" s="2"/>
    </row>
    <row r="7" spans="1:11" ht="17.25" customHeight="1" x14ac:dyDescent="0.25">
      <c r="A7" s="2"/>
      <c r="B7" s="2"/>
      <c r="C7" s="23" t="s">
        <v>4</v>
      </c>
      <c r="D7" s="34" t="s">
        <v>12</v>
      </c>
      <c r="E7" s="7"/>
      <c r="F7" s="7"/>
      <c r="I7" s="2"/>
      <c r="J7" s="2"/>
      <c r="K7" s="2"/>
    </row>
    <row r="8" spans="1:11" ht="17.25" customHeight="1" x14ac:dyDescent="0.25">
      <c r="A8" s="2"/>
      <c r="B8" s="2"/>
      <c r="C8" s="24" t="s">
        <v>5</v>
      </c>
      <c r="D8" s="34" t="s">
        <v>13</v>
      </c>
      <c r="I8" s="2"/>
      <c r="J8" s="2"/>
      <c r="K8" s="2"/>
    </row>
    <row r="9" spans="1:11" ht="17.25" customHeight="1" x14ac:dyDescent="0.25">
      <c r="A9" s="2"/>
      <c r="B9" s="2"/>
      <c r="C9" s="24" t="s">
        <v>6</v>
      </c>
      <c r="D9" s="34" t="s">
        <v>14</v>
      </c>
      <c r="E9" s="36" t="s">
        <v>8</v>
      </c>
      <c r="F9" s="36"/>
      <c r="G9" s="36"/>
      <c r="H9" s="36"/>
      <c r="I9" s="36"/>
      <c r="J9" s="2"/>
      <c r="K9" s="2"/>
    </row>
    <row r="10" spans="1:11" x14ac:dyDescent="0.2">
      <c r="A10" s="2"/>
      <c r="B10" s="2"/>
      <c r="C10" s="2"/>
      <c r="D10" s="2"/>
      <c r="H10" s="2"/>
      <c r="I10" s="2"/>
      <c r="J10" s="2"/>
      <c r="K10" s="2"/>
    </row>
    <row r="11" spans="1:11" ht="15" thickBo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" x14ac:dyDescent="0.2">
      <c r="B12" s="8" t="s">
        <v>2</v>
      </c>
      <c r="C12" s="9" t="s">
        <v>16</v>
      </c>
      <c r="D12" s="9" t="s">
        <v>37</v>
      </c>
      <c r="E12" s="9" t="s">
        <v>55</v>
      </c>
      <c r="F12" s="9" t="s">
        <v>71</v>
      </c>
      <c r="G12" s="9" t="s">
        <v>85</v>
      </c>
      <c r="H12" s="9" t="s">
        <v>100</v>
      </c>
      <c r="I12" s="10" t="s">
        <v>121</v>
      </c>
      <c r="J12" s="2"/>
    </row>
    <row r="13" spans="1:11" ht="15" x14ac:dyDescent="0.2">
      <c r="B13" s="11">
        <f t="shared" ref="B13:B32" si="0">ROW(B13) - ROW($B$12)</f>
        <v>1</v>
      </c>
      <c r="C13" s="26" t="s">
        <v>17</v>
      </c>
      <c r="D13" s="26" t="s">
        <v>38</v>
      </c>
      <c r="E13" s="26" t="s">
        <v>56</v>
      </c>
      <c r="F13" s="26" t="s">
        <v>72</v>
      </c>
      <c r="G13" s="26" t="s">
        <v>86</v>
      </c>
      <c r="H13" s="26" t="s">
        <v>101</v>
      </c>
      <c r="I13" s="27">
        <v>3</v>
      </c>
      <c r="J13" s="2"/>
    </row>
    <row r="14" spans="1:11" ht="15" x14ac:dyDescent="0.2">
      <c r="B14" s="25">
        <f t="shared" si="0"/>
        <v>2</v>
      </c>
      <c r="C14" s="28" t="s">
        <v>18</v>
      </c>
      <c r="D14" s="29" t="s">
        <v>39</v>
      </c>
      <c r="E14" s="29" t="s">
        <v>57</v>
      </c>
      <c r="F14" s="29" t="s">
        <v>73</v>
      </c>
      <c r="G14" s="29" t="s">
        <v>86</v>
      </c>
      <c r="H14" s="29" t="s">
        <v>102</v>
      </c>
      <c r="I14" s="30">
        <v>3</v>
      </c>
      <c r="J14" s="2"/>
    </row>
    <row r="15" spans="1:11" ht="15" x14ac:dyDescent="0.2">
      <c r="B15" s="11">
        <f t="shared" si="0"/>
        <v>3</v>
      </c>
      <c r="C15" s="26" t="s">
        <v>19</v>
      </c>
      <c r="D15" s="26" t="s">
        <v>40</v>
      </c>
      <c r="E15" s="26" t="s">
        <v>57</v>
      </c>
      <c r="F15" s="26" t="s">
        <v>74</v>
      </c>
      <c r="G15" s="26" t="s">
        <v>86</v>
      </c>
      <c r="H15" s="26" t="s">
        <v>103</v>
      </c>
      <c r="I15" s="27">
        <v>2</v>
      </c>
      <c r="J15" s="2"/>
    </row>
    <row r="16" spans="1:11" ht="15" x14ac:dyDescent="0.2">
      <c r="B16" s="25">
        <f t="shared" si="0"/>
        <v>4</v>
      </c>
      <c r="C16" s="28" t="s">
        <v>20</v>
      </c>
      <c r="D16" s="29" t="s">
        <v>41</v>
      </c>
      <c r="E16" s="29" t="s">
        <v>58</v>
      </c>
      <c r="F16" s="29"/>
      <c r="G16" s="29" t="s">
        <v>87</v>
      </c>
      <c r="H16" s="29" t="s">
        <v>104</v>
      </c>
      <c r="I16" s="30">
        <v>6</v>
      </c>
      <c r="J16" s="2"/>
    </row>
    <row r="17" spans="2:10" ht="15" x14ac:dyDescent="0.2">
      <c r="B17" s="11">
        <f t="shared" si="0"/>
        <v>5</v>
      </c>
      <c r="C17" s="26" t="s">
        <v>21</v>
      </c>
      <c r="D17" s="26" t="s">
        <v>42</v>
      </c>
      <c r="E17" s="26" t="s">
        <v>59</v>
      </c>
      <c r="F17" s="26" t="s">
        <v>75</v>
      </c>
      <c r="G17" s="26" t="s">
        <v>88</v>
      </c>
      <c r="H17" s="26" t="s">
        <v>105</v>
      </c>
      <c r="I17" s="27">
        <v>2</v>
      </c>
      <c r="J17" s="2"/>
    </row>
    <row r="18" spans="2:10" ht="15" x14ac:dyDescent="0.2">
      <c r="B18" s="25">
        <f t="shared" si="0"/>
        <v>6</v>
      </c>
      <c r="C18" s="28" t="s">
        <v>22</v>
      </c>
      <c r="D18" s="29" t="s">
        <v>43</v>
      </c>
      <c r="E18" s="29" t="s">
        <v>60</v>
      </c>
      <c r="F18" s="29" t="s">
        <v>76</v>
      </c>
      <c r="G18" s="29" t="s">
        <v>89</v>
      </c>
      <c r="H18" s="29" t="s">
        <v>106</v>
      </c>
      <c r="I18" s="30">
        <v>3</v>
      </c>
      <c r="J18" s="2"/>
    </row>
    <row r="19" spans="2:10" ht="15" x14ac:dyDescent="0.2">
      <c r="B19" s="11">
        <f t="shared" si="0"/>
        <v>7</v>
      </c>
      <c r="C19" s="26" t="s">
        <v>23</v>
      </c>
      <c r="D19" s="26" t="s">
        <v>44</v>
      </c>
      <c r="E19" s="26" t="s">
        <v>61</v>
      </c>
      <c r="F19" s="26"/>
      <c r="G19" s="26" t="s">
        <v>90</v>
      </c>
      <c r="H19" s="26" t="s">
        <v>107</v>
      </c>
      <c r="I19" s="27">
        <v>1</v>
      </c>
      <c r="J19" s="2"/>
    </row>
    <row r="20" spans="2:10" ht="15" x14ac:dyDescent="0.2">
      <c r="B20" s="25">
        <f t="shared" si="0"/>
        <v>8</v>
      </c>
      <c r="C20" s="28" t="s">
        <v>24</v>
      </c>
      <c r="D20" s="29" t="s">
        <v>44</v>
      </c>
      <c r="E20" s="29" t="s">
        <v>62</v>
      </c>
      <c r="F20" s="29"/>
      <c r="G20" s="29" t="s">
        <v>91</v>
      </c>
      <c r="H20" s="29" t="s">
        <v>108</v>
      </c>
      <c r="I20" s="30">
        <v>2</v>
      </c>
      <c r="J20" s="2"/>
    </row>
    <row r="21" spans="2:10" ht="15" x14ac:dyDescent="0.2">
      <c r="B21" s="11">
        <f t="shared" si="0"/>
        <v>9</v>
      </c>
      <c r="C21" s="26" t="s">
        <v>25</v>
      </c>
      <c r="D21" s="26" t="s">
        <v>45</v>
      </c>
      <c r="E21" s="26" t="s">
        <v>63</v>
      </c>
      <c r="F21" s="26" t="s">
        <v>77</v>
      </c>
      <c r="G21" s="26" t="s">
        <v>92</v>
      </c>
      <c r="H21" s="26" t="s">
        <v>109</v>
      </c>
      <c r="I21" s="27">
        <v>2</v>
      </c>
      <c r="J21" s="2"/>
    </row>
    <row r="22" spans="2:10" ht="15" x14ac:dyDescent="0.2">
      <c r="B22" s="25">
        <f t="shared" si="0"/>
        <v>10</v>
      </c>
      <c r="C22" s="28" t="s">
        <v>26</v>
      </c>
      <c r="D22" s="29" t="s">
        <v>46</v>
      </c>
      <c r="E22" s="29" t="s">
        <v>64</v>
      </c>
      <c r="F22" s="29" t="s">
        <v>78</v>
      </c>
      <c r="G22" s="29" t="s">
        <v>93</v>
      </c>
      <c r="H22" s="29" t="s">
        <v>110</v>
      </c>
      <c r="I22" s="30">
        <v>9</v>
      </c>
      <c r="J22" s="2"/>
    </row>
    <row r="23" spans="2:10" ht="15" x14ac:dyDescent="0.2">
      <c r="B23" s="11">
        <f t="shared" si="0"/>
        <v>11</v>
      </c>
      <c r="C23" s="26" t="s">
        <v>27</v>
      </c>
      <c r="D23" s="26" t="s">
        <v>47</v>
      </c>
      <c r="E23" s="26" t="s">
        <v>64</v>
      </c>
      <c r="F23" s="26" t="s">
        <v>79</v>
      </c>
      <c r="G23" s="26" t="s">
        <v>94</v>
      </c>
      <c r="H23" s="26" t="s">
        <v>111</v>
      </c>
      <c r="I23" s="27">
        <v>3</v>
      </c>
      <c r="J23" s="2"/>
    </row>
    <row r="24" spans="2:10" ht="15" x14ac:dyDescent="0.2">
      <c r="B24" s="25">
        <f t="shared" si="0"/>
        <v>12</v>
      </c>
      <c r="C24" s="28" t="s">
        <v>28</v>
      </c>
      <c r="D24" s="29" t="s">
        <v>48</v>
      </c>
      <c r="E24" s="29" t="s">
        <v>65</v>
      </c>
      <c r="F24" s="29" t="s">
        <v>80</v>
      </c>
      <c r="G24" s="29" t="s">
        <v>93</v>
      </c>
      <c r="H24" s="29" t="s">
        <v>112</v>
      </c>
      <c r="I24" s="30">
        <v>1</v>
      </c>
      <c r="J24" s="2"/>
    </row>
    <row r="25" spans="2:10" ht="15" x14ac:dyDescent="0.2">
      <c r="B25" s="11">
        <f t="shared" si="0"/>
        <v>13</v>
      </c>
      <c r="C25" s="26" t="s">
        <v>29</v>
      </c>
      <c r="D25" s="26" t="s">
        <v>49</v>
      </c>
      <c r="E25" s="26" t="s">
        <v>64</v>
      </c>
      <c r="F25" s="26" t="s">
        <v>81</v>
      </c>
      <c r="G25" s="26" t="s">
        <v>93</v>
      </c>
      <c r="H25" s="26" t="s">
        <v>113</v>
      </c>
      <c r="I25" s="27">
        <v>1</v>
      </c>
      <c r="J25" s="2"/>
    </row>
    <row r="26" spans="2:10" ht="15" x14ac:dyDescent="0.2">
      <c r="B26" s="25">
        <f t="shared" si="0"/>
        <v>14</v>
      </c>
      <c r="C26" s="28" t="s">
        <v>30</v>
      </c>
      <c r="D26" s="29" t="s">
        <v>50</v>
      </c>
      <c r="E26" s="29" t="s">
        <v>64</v>
      </c>
      <c r="F26" s="29" t="s">
        <v>82</v>
      </c>
      <c r="G26" s="29" t="s">
        <v>93</v>
      </c>
      <c r="H26" s="29" t="s">
        <v>114</v>
      </c>
      <c r="I26" s="30">
        <v>1</v>
      </c>
      <c r="J26" s="2"/>
    </row>
    <row r="27" spans="2:10" ht="15" x14ac:dyDescent="0.2">
      <c r="B27" s="11">
        <f t="shared" si="0"/>
        <v>15</v>
      </c>
      <c r="C27" s="26" t="s">
        <v>31</v>
      </c>
      <c r="D27" s="26" t="s">
        <v>51</v>
      </c>
      <c r="E27" s="26" t="s">
        <v>64</v>
      </c>
      <c r="F27" s="26" t="s">
        <v>83</v>
      </c>
      <c r="G27" s="26" t="s">
        <v>93</v>
      </c>
      <c r="H27" s="26" t="s">
        <v>115</v>
      </c>
      <c r="I27" s="27">
        <v>1</v>
      </c>
      <c r="J27" s="2"/>
    </row>
    <row r="28" spans="2:10" ht="15" x14ac:dyDescent="0.2">
      <c r="B28" s="25">
        <f t="shared" si="0"/>
        <v>16</v>
      </c>
      <c r="C28" s="28" t="s">
        <v>32</v>
      </c>
      <c r="D28" s="29" t="s">
        <v>52</v>
      </c>
      <c r="E28" s="29" t="s">
        <v>66</v>
      </c>
      <c r="F28" s="29" t="s">
        <v>84</v>
      </c>
      <c r="G28" s="29" t="s">
        <v>95</v>
      </c>
      <c r="H28" s="29" t="s">
        <v>116</v>
      </c>
      <c r="I28" s="30">
        <v>2</v>
      </c>
      <c r="J28" s="2"/>
    </row>
    <row r="29" spans="2:10" ht="15" x14ac:dyDescent="0.2">
      <c r="B29" s="11">
        <f t="shared" si="0"/>
        <v>17</v>
      </c>
      <c r="C29" s="26" t="s">
        <v>33</v>
      </c>
      <c r="D29" s="26" t="s">
        <v>53</v>
      </c>
      <c r="E29" s="26" t="s">
        <v>67</v>
      </c>
      <c r="F29" s="26"/>
      <c r="G29" s="26" t="s">
        <v>96</v>
      </c>
      <c r="H29" s="26" t="s">
        <v>117</v>
      </c>
      <c r="I29" s="27">
        <v>1</v>
      </c>
      <c r="J29" s="2"/>
    </row>
    <row r="30" spans="2:10" ht="15" x14ac:dyDescent="0.2">
      <c r="B30" s="25">
        <f t="shared" si="0"/>
        <v>18</v>
      </c>
      <c r="C30" s="28" t="s">
        <v>34</v>
      </c>
      <c r="D30" s="29" t="s">
        <v>54</v>
      </c>
      <c r="E30" s="29" t="s">
        <v>68</v>
      </c>
      <c r="F30" s="29"/>
      <c r="G30" s="29" t="s">
        <v>97</v>
      </c>
      <c r="H30" s="29" t="s">
        <v>118</v>
      </c>
      <c r="I30" s="30">
        <v>1</v>
      </c>
      <c r="J30" s="2"/>
    </row>
    <row r="31" spans="2:10" ht="15" x14ac:dyDescent="0.2">
      <c r="B31" s="11">
        <f t="shared" si="0"/>
        <v>19</v>
      </c>
      <c r="C31" s="26" t="s">
        <v>35</v>
      </c>
      <c r="D31" s="26" t="s">
        <v>54</v>
      </c>
      <c r="E31" s="26" t="s">
        <v>69</v>
      </c>
      <c r="F31" s="26"/>
      <c r="G31" s="26" t="s">
        <v>98</v>
      </c>
      <c r="H31" s="26" t="s">
        <v>119</v>
      </c>
      <c r="I31" s="27">
        <v>1</v>
      </c>
      <c r="J31" s="2"/>
    </row>
    <row r="32" spans="2:10" ht="15" x14ac:dyDescent="0.2">
      <c r="B32" s="25">
        <f t="shared" si="0"/>
        <v>20</v>
      </c>
      <c r="C32" s="28" t="s">
        <v>36</v>
      </c>
      <c r="D32" s="29" t="s">
        <v>54</v>
      </c>
      <c r="E32" s="29" t="s">
        <v>70</v>
      </c>
      <c r="F32" s="29"/>
      <c r="G32" s="29" t="s">
        <v>99</v>
      </c>
      <c r="H32" s="29" t="s">
        <v>120</v>
      </c>
      <c r="I32" s="30">
        <v>1</v>
      </c>
      <c r="J32" s="2"/>
    </row>
    <row r="33" spans="2:10" ht="15" thickBot="1" x14ac:dyDescent="0.25">
      <c r="I33" s="2"/>
      <c r="J33" s="2"/>
    </row>
    <row r="34" spans="2:10" ht="15.75" thickBot="1" x14ac:dyDescent="0.3">
      <c r="B34" s="12"/>
      <c r="C34" s="13"/>
      <c r="D34" s="14" t="s">
        <v>1</v>
      </c>
      <c r="E34" s="15"/>
      <c r="F34" s="15"/>
      <c r="G34" s="15"/>
      <c r="H34" s="15"/>
      <c r="I34" s="35" t="s">
        <v>15</v>
      </c>
    </row>
    <row r="35" spans="2:10" x14ac:dyDescent="0.2">
      <c r="B35" s="16"/>
      <c r="C35" s="2"/>
      <c r="D35" s="16"/>
      <c r="E35" s="2"/>
      <c r="F35" s="2"/>
      <c r="G35" s="2"/>
      <c r="H35" s="2"/>
      <c r="I35" s="17"/>
    </row>
    <row r="36" spans="2:10" x14ac:dyDescent="0.2">
      <c r="B36" s="16"/>
      <c r="C36" s="2"/>
      <c r="D36" s="16"/>
      <c r="E36" s="2"/>
      <c r="F36" s="2"/>
      <c r="G36" s="2"/>
      <c r="H36" s="2"/>
      <c r="I36" s="17"/>
    </row>
    <row r="37" spans="2:10" x14ac:dyDescent="0.2">
      <c r="B37" s="16"/>
      <c r="C37" s="2"/>
      <c r="D37" s="16"/>
      <c r="E37" s="2"/>
      <c r="F37" s="2"/>
      <c r="G37" s="2"/>
      <c r="H37" s="2"/>
      <c r="I37" s="17"/>
    </row>
    <row r="38" spans="2:10" x14ac:dyDescent="0.2">
      <c r="B38" s="16"/>
      <c r="C38" s="2"/>
      <c r="D38" s="16"/>
      <c r="E38" s="2"/>
      <c r="F38" s="2"/>
      <c r="G38" s="2"/>
      <c r="H38" s="2"/>
      <c r="I38" s="17"/>
    </row>
    <row r="39" spans="2:10" ht="15" thickBot="1" x14ac:dyDescent="0.25">
      <c r="B39" s="18"/>
      <c r="C39" s="19"/>
      <c r="D39" s="18"/>
      <c r="E39" s="19"/>
      <c r="F39" s="19"/>
      <c r="G39" s="19"/>
      <c r="H39" s="19"/>
      <c r="I39" s="20"/>
    </row>
  </sheetData>
  <mergeCells count="1">
    <mergeCell ref="E9:I9"/>
  </mergeCells>
  <pageMargins left="0.25" right="0.25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burak yalım</cp:lastModifiedBy>
  <cp:lastPrinted>2014-01-09T23:24:28Z</cp:lastPrinted>
  <dcterms:created xsi:type="dcterms:W3CDTF">2013-12-31T18:23:59Z</dcterms:created>
  <dcterms:modified xsi:type="dcterms:W3CDTF">2026-06-26T20:19:16Z</dcterms:modified>
</cp:coreProperties>
</file>