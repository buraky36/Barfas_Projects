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arfas_Projects\Barfas_Projects\myProjects\4_KNX\Hardware\Imported\KNX_MCU_8CH_V1.2\ASSY-FILES\BOM\"/>
    </mc:Choice>
  </mc:AlternateContent>
  <xr:revisionPtr revIDLastSave="0" documentId="13_ncr:1_{877931B2-5286-4E02-B922-6E2525DFB03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8" i="1" l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<sst xmlns="http://schemas.openxmlformats.org/spreadsheetml/2006/main" count="232" uniqueCount="183">
  <si>
    <t>#</t>
  </si>
  <si>
    <t>Designator</t>
  </si>
  <si>
    <t>C1</t>
  </si>
  <si>
    <t>C2, C14</t>
  </si>
  <si>
    <t>C3, C4, C5, C6, C21, C25, C26, C27, C29, C30</t>
  </si>
  <si>
    <t>C7</t>
  </si>
  <si>
    <t>C8, C9</t>
  </si>
  <si>
    <t>C10</t>
  </si>
  <si>
    <t>C11</t>
  </si>
  <si>
    <t>C12, C13, C17, C18, C23, C24</t>
  </si>
  <si>
    <t>C15, C16</t>
  </si>
  <si>
    <t>C19, C20</t>
  </si>
  <si>
    <t>C22</t>
  </si>
  <si>
    <t>C28</t>
  </si>
  <si>
    <t>D1, D4, D5, D6, D7, D8, D9, D10</t>
  </si>
  <si>
    <t>D2</t>
  </si>
  <si>
    <t>D3</t>
  </si>
  <si>
    <t>D11</t>
  </si>
  <si>
    <t>H1, H2, H3, H4</t>
  </si>
  <si>
    <t>IC1</t>
  </si>
  <si>
    <t>J1</t>
  </si>
  <si>
    <t>J9, J10</t>
  </si>
  <si>
    <t>L1</t>
  </si>
  <si>
    <t>L2, L3</t>
  </si>
  <si>
    <t>L4</t>
  </si>
  <si>
    <t>R1, R3, R6, R7, R32, R33</t>
  </si>
  <si>
    <t>R2, R4, R5, R99</t>
  </si>
  <si>
    <t>R8, R9, R10, R11, R12, R13, R14, R15</t>
  </si>
  <si>
    <t>R26</t>
  </si>
  <si>
    <t>R34</t>
  </si>
  <si>
    <t>R35, R36</t>
  </si>
  <si>
    <t>R38</t>
  </si>
  <si>
    <t>R39</t>
  </si>
  <si>
    <t>R40</t>
  </si>
  <si>
    <t>R41</t>
  </si>
  <si>
    <t>R42, R44</t>
  </si>
  <si>
    <t>R43</t>
  </si>
  <si>
    <t>R91, R92, R93, R94</t>
  </si>
  <si>
    <t>R95, R96, R97, R98</t>
  </si>
  <si>
    <t>SW1, SW2, SW3</t>
  </si>
  <si>
    <t>SW4</t>
  </si>
  <si>
    <t>SW5</t>
  </si>
  <si>
    <t>U1</t>
  </si>
  <si>
    <t>U2</t>
  </si>
  <si>
    <t>Y1</t>
  </si>
  <si>
    <t>Y2</t>
  </si>
  <si>
    <t>Description</t>
  </si>
  <si>
    <t>CAP.EL.470uF 16V 8x10 105C SMD</t>
  </si>
  <si>
    <t>YP-1132 Geçmeli Yükseltme Parçası (3.2mm delik için) İki Tarafı Kilitli</t>
  </si>
  <si>
    <t>PIN HEADER 6PIN(1x6) 2.54mm THT V/T 3X13MM</t>
  </si>
  <si>
    <t>Through Hole-4P,8.2x7.6mm</t>
  </si>
  <si>
    <t>SWITCH TACTILE SPST 250gf SMD</t>
  </si>
  <si>
    <t>Footprint</t>
  </si>
  <si>
    <t>C_0603_1608Metric</t>
  </si>
  <si>
    <t>C_0805_2012Metric</t>
  </si>
  <si>
    <t>CP_Elec_8x10</t>
  </si>
  <si>
    <t>LED_0603_1608Metric</t>
  </si>
  <si>
    <t>D_SMA</t>
  </si>
  <si>
    <t>LED_D3.0mm</t>
  </si>
  <si>
    <t>MountingHole_3mm</t>
  </si>
  <si>
    <t>LQFP-64_10x10mm_P0.5mm</t>
  </si>
  <si>
    <t>Samtec_HPM-02-01-x-S_Straight_1x02_Pitch5.08mm</t>
  </si>
  <si>
    <t>PinHeader_1x04_P2.54mm_Vertical</t>
  </si>
  <si>
    <t>L_APV_ANR5012</t>
  </si>
  <si>
    <t>L_APV_ANR6028</t>
  </si>
  <si>
    <t>L_CommonMode_50474C_7.5x5.9mm</t>
  </si>
  <si>
    <t>R_0603_1608Metric</t>
  </si>
  <si>
    <t>R_2512_6332Metric</t>
  </si>
  <si>
    <t>R_0805_2012Metric</t>
  </si>
  <si>
    <t>TL1105</t>
  </si>
  <si>
    <t>SW_SPST_CK_RS282G05A3</t>
  </si>
  <si>
    <t>SW_SPST_Omron_B3FS-100xP</t>
  </si>
  <si>
    <t>QFN40_485AU-01_ONS</t>
  </si>
  <si>
    <t>TSSOP-16_4.4x5mm_P0.65mm</t>
  </si>
  <si>
    <t>Crystal_SMD_SeikoEpson_FA238-4Pin_3.2x2.5mm</t>
  </si>
  <si>
    <t>Crystal_SMD_SeikoEpson_FA238V-4Pin_3.2x2.5mm</t>
  </si>
  <si>
    <t>Value</t>
  </si>
  <si>
    <t>4.7uF</t>
  </si>
  <si>
    <t>1uF</t>
  </si>
  <si>
    <t>100nF</t>
  </si>
  <si>
    <t>2.2uF</t>
  </si>
  <si>
    <t>15pF</t>
  </si>
  <si>
    <t>47nF</t>
  </si>
  <si>
    <t>220nF</t>
  </si>
  <si>
    <t>10uF</t>
  </si>
  <si>
    <t>10pF</t>
  </si>
  <si>
    <t>100uF</t>
  </si>
  <si>
    <t>470uf/16V</t>
  </si>
  <si>
    <t>LED</t>
  </si>
  <si>
    <t>SMAJ40CA-HT</t>
  </si>
  <si>
    <t>SS28</t>
  </si>
  <si>
    <t>Led_Green</t>
  </si>
  <si>
    <t>MountingHole</t>
  </si>
  <si>
    <t>R7FA2L1AB3CFM</t>
  </si>
  <si>
    <t>L-KLS8-2170-13</t>
  </si>
  <si>
    <t>Conn_01x04</t>
  </si>
  <si>
    <t>4.7uH</t>
  </si>
  <si>
    <t>220uH</t>
  </si>
  <si>
    <t>50474C</t>
  </si>
  <si>
    <t>10k</t>
  </si>
  <si>
    <t>330R</t>
  </si>
  <si>
    <t>1k</t>
  </si>
  <si>
    <t>1K</t>
  </si>
  <si>
    <t>27R</t>
  </si>
  <si>
    <t>1R</t>
  </si>
  <si>
    <t>91K</t>
  </si>
  <si>
    <t>10K</t>
  </si>
  <si>
    <t>20k</t>
  </si>
  <si>
    <t>220k</t>
  </si>
  <si>
    <t>27k</t>
  </si>
  <si>
    <t>100k</t>
  </si>
  <si>
    <t>33R</t>
  </si>
  <si>
    <t>SW_Push</t>
  </si>
  <si>
    <t>NCN5130MNTWG</t>
  </si>
  <si>
    <t>74HC595PW,118</t>
  </si>
  <si>
    <t>20Mhz</t>
  </si>
  <si>
    <t>16Mhz</t>
  </si>
  <si>
    <t>Manufacturer</t>
  </si>
  <si>
    <t>Samsung Electro-Mechanics</t>
  </si>
  <si>
    <t>YAGEO</t>
  </si>
  <si>
    <t>SAMSUNG</t>
  </si>
  <si>
    <t>SUSCON</t>
  </si>
  <si>
    <t>PANASONIC(EUROPE)</t>
  </si>
  <si>
    <t>LITEON</t>
  </si>
  <si>
    <t>HOTTECH</t>
  </si>
  <si>
    <t>TUOZHAN</t>
  </si>
  <si>
    <t>Altınkaya</t>
  </si>
  <si>
    <t>RENESAS</t>
  </si>
  <si>
    <t>KLS ELECTRONIC</t>
  </si>
  <si>
    <t>OEM</t>
  </si>
  <si>
    <t>VIKING</t>
  </si>
  <si>
    <t>CORE MASTER</t>
  </si>
  <si>
    <t>muRata</t>
  </si>
  <si>
    <t>FOJAN</t>
  </si>
  <si>
    <t>VO</t>
  </si>
  <si>
    <t>ROYALOHM</t>
  </si>
  <si>
    <t>PANASONIC</t>
  </si>
  <si>
    <t>Khon</t>
  </si>
  <si>
    <t>hanxia</t>
  </si>
  <si>
    <t>kinghelm</t>
  </si>
  <si>
    <t>onsemi</t>
  </si>
  <si>
    <t>Nexperia</t>
  </si>
  <si>
    <t>RALTRON</t>
  </si>
  <si>
    <t>Manufacturer Part Number</t>
  </si>
  <si>
    <t>CL10B475KQ8NQNC</t>
  </si>
  <si>
    <t>CL10B105KP8NNNC</t>
  </si>
  <si>
    <t>CC0603KRX7R9BB104</t>
  </si>
  <si>
    <t>CL10B225KP8NNNC</t>
  </si>
  <si>
    <t>CL10C150JB8NNNC</t>
  </si>
  <si>
    <t>CL10B473KB8NNNC</t>
  </si>
  <si>
    <t>CL10B224KB8NNNC</t>
  </si>
  <si>
    <t>CL10B104KB8NNNC</t>
  </si>
  <si>
    <t>CL21B106KOQNNNE</t>
  </si>
  <si>
    <t>CL10C100JB8NNNC</t>
  </si>
  <si>
    <t>CD035M101F10PKKKV00A</t>
  </si>
  <si>
    <t>EEEFK1C471P</t>
  </si>
  <si>
    <t>LTST-C190KFKT-5A</t>
  </si>
  <si>
    <t>SS18-HT</t>
  </si>
  <si>
    <t>TZ-L2-03YYBYG1GDJ30-001</t>
  </si>
  <si>
    <t>YP-1132-20-0-N-0</t>
  </si>
  <si>
    <t>DK501-1X6SBT-3X13MM</t>
  </si>
  <si>
    <t>PCD0302MT4R7</t>
  </si>
  <si>
    <t>NR6028-221M</t>
  </si>
  <si>
    <t>FRC0603J103TS</t>
  </si>
  <si>
    <t>FRC0603J331 TS</t>
  </si>
  <si>
    <t>RC0603JR-071KL</t>
  </si>
  <si>
    <t>SCR0603J1K</t>
  </si>
  <si>
    <t>HP122WF270JT4E</t>
  </si>
  <si>
    <t>ERJ6RQF1R0V</t>
  </si>
  <si>
    <t>0603SAF9102T5E</t>
  </si>
  <si>
    <t>PS03W4F1002T5E</t>
  </si>
  <si>
    <t>0603SAF2002T5E</t>
  </si>
  <si>
    <t>ERJ3EKF2203V</t>
  </si>
  <si>
    <t>ERJ3EKF2702V</t>
  </si>
  <si>
    <t>RC0603FR-07100KL</t>
  </si>
  <si>
    <t>RC0603JR-0733RL</t>
  </si>
  <si>
    <t>0603SAF330JT5E</t>
  </si>
  <si>
    <t>TSA06141-225B532CA-3C00</t>
  </si>
  <si>
    <t>HX 3x6x2.5A-2.5N</t>
  </si>
  <si>
    <t>KH-12X12X8H-SMT</t>
  </si>
  <si>
    <t>FL3P2X2P5SSC</t>
  </si>
  <si>
    <t>RH100-16.000-10-1010-EXT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</si>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</sst>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i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5CA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Border="1" applyAlignment="1"/>
    <xf numFmtId="0" fontId="2" fillId="0" borderId="0" xfId="0" applyFont="1" applyFill="1" applyBorder="1" applyAlignment="1"/>
    <xf numFmtId="0" fontId="2" fillId="0" borderId="0" xfId="0" applyFont="1" applyFill="1" applyAlignment="1"/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colors>
    <mruColors>
      <color rgb="FFC5CA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showGridLines="0" tabSelected="1" zoomScale="70" zoomScaleNormal="70" workbookViewId="0">
      <pane ySplit="4" topLeftCell="A11" activePane="bottomLeft" state="frozen"/>
      <selection pane="bottomLeft" activeCell="Q33" sqref="Q33"/>
    </sheetView>
  </sheetViews>
  <sheetFormatPr defaultRowHeight="14.25" x14ac:dyDescent="0.2"/>
  <cols>
    <col min="1" max="1" width="2.42578125" style="8" customWidth="1"/>
    <col min="2" max="2" width="3.85546875" style="8" customWidth="1"/>
    <col min="3" max="3" width="44.5703125" style="8" bestFit="1" customWidth="1"/>
    <col min="4" max="4" width="63.85546875" style="8" bestFit="1" customWidth="1"/>
    <col min="5" max="5" width="48.5703125" style="8" bestFit="1" customWidth="1"/>
    <col min="6" max="6" width="17.140625" style="8" bestFit="1" customWidth="1"/>
    <col min="7" max="7" width="26" style="8" bestFit="1" customWidth="1"/>
    <col min="8" max="8" width="28.5703125" style="8" bestFit="1" customWidth="1"/>
    <col min="9" max="9" width="9.5703125" style="8" bestFit="1" customWidth="1"/>
    <col min="10" max="10" width="4.28515625" style="8" customWidth="1"/>
    <col min="11" max="16384" width="9.140625" style="8"/>
  </cols>
  <sheetData>
    <row r="1" spans="1:11" ht="9.75" customHeight="1" x14ac:dyDescent="0.2">
      <c r="C1" s="9"/>
      <c r="D1" s="10"/>
      <c r="E1" s="10"/>
      <c r="F1" s="10"/>
      <c r="G1" s="10"/>
      <c r="H1" s="10"/>
      <c r="I1" s="10"/>
      <c r="J1" s="11"/>
    </row>
    <row r="2" spans="1:11" x14ac:dyDescent="0.2">
      <c r="A2" s="9"/>
      <c r="B2" s="9"/>
      <c r="C2" s="9"/>
      <c r="D2" s="9"/>
      <c r="H2" s="9"/>
      <c r="I2" s="9"/>
      <c r="J2" s="9"/>
      <c r="K2" s="9"/>
    </row>
    <row r="3" spans="1:11" ht="15" thickBot="1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15" x14ac:dyDescent="0.2">
      <c r="B4" s="1" t="s">
        <v>0</v>
      </c>
      <c r="C4" s="2" t="s">
        <v>1</v>
      </c>
      <c r="D4" s="2" t="s">
        <v>46</v>
      </c>
      <c r="E4" s="2" t="s">
        <v>52</v>
      </c>
      <c r="F4" s="2" t="s">
        <v>76</v>
      </c>
      <c r="G4" s="2" t="s">
        <v>117</v>
      </c>
      <c r="H4" s="2" t="s">
        <v>143</v>
      </c>
      <c r="I4" s="3" t="s">
        <v>182</v>
      </c>
      <c r="J4" s="9"/>
    </row>
    <row r="5" spans="1:11" ht="15" x14ac:dyDescent="0.2">
      <c r="B5" s="12">
        <f t="shared" ref="B5:B48" si="0">ROW(B5) - ROW($B$4)</f>
        <v>1</v>
      </c>
      <c r="C5" s="4" t="s">
        <v>2</v>
      </c>
      <c r="D5" s="4"/>
      <c r="E5" s="4" t="s">
        <v>53</v>
      </c>
      <c r="F5" s="4" t="s">
        <v>77</v>
      </c>
      <c r="G5" s="4" t="s">
        <v>118</v>
      </c>
      <c r="H5" s="4" t="s">
        <v>144</v>
      </c>
      <c r="I5" s="5">
        <v>1</v>
      </c>
      <c r="J5" s="9"/>
    </row>
    <row r="6" spans="1:11" ht="15" x14ac:dyDescent="0.2">
      <c r="B6" s="13">
        <f t="shared" si="0"/>
        <v>2</v>
      </c>
      <c r="C6" s="6" t="s">
        <v>3</v>
      </c>
      <c r="D6" s="6"/>
      <c r="E6" s="6" t="s">
        <v>53</v>
      </c>
      <c r="F6" s="6" t="s">
        <v>78</v>
      </c>
      <c r="G6" s="6" t="s">
        <v>118</v>
      </c>
      <c r="H6" s="6" t="s">
        <v>145</v>
      </c>
      <c r="I6" s="7">
        <v>2</v>
      </c>
      <c r="J6" s="9"/>
    </row>
    <row r="7" spans="1:11" ht="15" x14ac:dyDescent="0.2">
      <c r="B7" s="12">
        <f t="shared" si="0"/>
        <v>3</v>
      </c>
      <c r="C7" s="4" t="s">
        <v>4</v>
      </c>
      <c r="D7" s="4"/>
      <c r="E7" s="4" t="s">
        <v>53</v>
      </c>
      <c r="F7" s="4" t="s">
        <v>79</v>
      </c>
      <c r="G7" s="4" t="s">
        <v>119</v>
      </c>
      <c r="H7" s="4" t="s">
        <v>146</v>
      </c>
      <c r="I7" s="5">
        <v>10</v>
      </c>
      <c r="J7" s="9"/>
    </row>
    <row r="8" spans="1:11" ht="15" x14ac:dyDescent="0.2">
      <c r="B8" s="13">
        <f t="shared" si="0"/>
        <v>4</v>
      </c>
      <c r="C8" s="6" t="s">
        <v>5</v>
      </c>
      <c r="D8" s="6"/>
      <c r="E8" s="6" t="s">
        <v>53</v>
      </c>
      <c r="F8" s="6" t="s">
        <v>80</v>
      </c>
      <c r="G8" s="6" t="s">
        <v>118</v>
      </c>
      <c r="H8" s="6" t="s">
        <v>147</v>
      </c>
      <c r="I8" s="7">
        <v>1</v>
      </c>
      <c r="J8" s="9"/>
    </row>
    <row r="9" spans="1:11" ht="15" x14ac:dyDescent="0.2">
      <c r="B9" s="12">
        <f t="shared" si="0"/>
        <v>5</v>
      </c>
      <c r="C9" s="4" t="s">
        <v>6</v>
      </c>
      <c r="D9" s="4"/>
      <c r="E9" s="4" t="s">
        <v>53</v>
      </c>
      <c r="F9" s="4" t="s">
        <v>81</v>
      </c>
      <c r="G9" s="4" t="s">
        <v>118</v>
      </c>
      <c r="H9" s="4" t="s">
        <v>148</v>
      </c>
      <c r="I9" s="5">
        <v>2</v>
      </c>
      <c r="J9" s="9"/>
    </row>
    <row r="10" spans="1:11" ht="15" x14ac:dyDescent="0.2">
      <c r="B10" s="13">
        <f t="shared" si="0"/>
        <v>6</v>
      </c>
      <c r="C10" s="6" t="s">
        <v>7</v>
      </c>
      <c r="D10" s="6"/>
      <c r="E10" s="6" t="s">
        <v>53</v>
      </c>
      <c r="F10" s="6" t="s">
        <v>82</v>
      </c>
      <c r="G10" s="6" t="s">
        <v>120</v>
      </c>
      <c r="H10" s="6" t="s">
        <v>149</v>
      </c>
      <c r="I10" s="7">
        <v>1</v>
      </c>
      <c r="J10" s="9"/>
    </row>
    <row r="11" spans="1:11" ht="15" x14ac:dyDescent="0.2">
      <c r="B11" s="12">
        <f t="shared" si="0"/>
        <v>7</v>
      </c>
      <c r="C11" s="4" t="s">
        <v>8</v>
      </c>
      <c r="D11" s="4"/>
      <c r="E11" s="4" t="s">
        <v>53</v>
      </c>
      <c r="F11" s="4" t="s">
        <v>83</v>
      </c>
      <c r="G11" s="4" t="s">
        <v>118</v>
      </c>
      <c r="H11" s="4" t="s">
        <v>150</v>
      </c>
      <c r="I11" s="5">
        <v>1</v>
      </c>
      <c r="J11" s="9"/>
    </row>
    <row r="12" spans="1:11" ht="15" x14ac:dyDescent="0.2">
      <c r="B12" s="13">
        <f t="shared" si="0"/>
        <v>8</v>
      </c>
      <c r="C12" s="6" t="s">
        <v>9</v>
      </c>
      <c r="D12" s="6"/>
      <c r="E12" s="6" t="s">
        <v>53</v>
      </c>
      <c r="F12" s="6" t="s">
        <v>79</v>
      </c>
      <c r="G12" s="6" t="s">
        <v>118</v>
      </c>
      <c r="H12" s="6" t="s">
        <v>151</v>
      </c>
      <c r="I12" s="7">
        <v>6</v>
      </c>
      <c r="J12" s="9"/>
    </row>
    <row r="13" spans="1:11" ht="15" x14ac:dyDescent="0.2">
      <c r="B13" s="12">
        <f t="shared" si="0"/>
        <v>9</v>
      </c>
      <c r="C13" s="4" t="s">
        <v>10</v>
      </c>
      <c r="D13" s="4"/>
      <c r="E13" s="4" t="s">
        <v>54</v>
      </c>
      <c r="F13" s="4" t="s">
        <v>84</v>
      </c>
      <c r="G13" s="4" t="s">
        <v>118</v>
      </c>
      <c r="H13" s="4" t="s">
        <v>152</v>
      </c>
      <c r="I13" s="5">
        <v>2</v>
      </c>
      <c r="J13" s="9"/>
    </row>
    <row r="14" spans="1:11" ht="15" x14ac:dyDescent="0.2">
      <c r="B14" s="13">
        <f t="shared" si="0"/>
        <v>10</v>
      </c>
      <c r="C14" s="6" t="s">
        <v>11</v>
      </c>
      <c r="D14" s="6"/>
      <c r="E14" s="6" t="s">
        <v>53</v>
      </c>
      <c r="F14" s="6" t="s">
        <v>85</v>
      </c>
      <c r="G14" s="6" t="s">
        <v>118</v>
      </c>
      <c r="H14" s="6" t="s">
        <v>153</v>
      </c>
      <c r="I14" s="7">
        <v>2</v>
      </c>
      <c r="J14" s="9"/>
    </row>
    <row r="15" spans="1:11" ht="15" x14ac:dyDescent="0.2">
      <c r="B15" s="12">
        <f t="shared" si="0"/>
        <v>11</v>
      </c>
      <c r="C15" s="4" t="s">
        <v>12</v>
      </c>
      <c r="D15" s="4"/>
      <c r="E15" s="4" t="s">
        <v>55</v>
      </c>
      <c r="F15" s="4" t="s">
        <v>86</v>
      </c>
      <c r="G15" s="4" t="s">
        <v>121</v>
      </c>
      <c r="H15" s="4" t="s">
        <v>154</v>
      </c>
      <c r="I15" s="5">
        <v>1</v>
      </c>
      <c r="J15" s="9"/>
    </row>
    <row r="16" spans="1:11" ht="15" x14ac:dyDescent="0.2">
      <c r="B16" s="13">
        <f t="shared" si="0"/>
        <v>12</v>
      </c>
      <c r="C16" s="6" t="s">
        <v>13</v>
      </c>
      <c r="D16" s="6" t="s">
        <v>47</v>
      </c>
      <c r="E16" s="6" t="s">
        <v>55</v>
      </c>
      <c r="F16" s="6" t="s">
        <v>87</v>
      </c>
      <c r="G16" s="6" t="s">
        <v>122</v>
      </c>
      <c r="H16" s="6" t="s">
        <v>155</v>
      </c>
      <c r="I16" s="7">
        <v>1</v>
      </c>
      <c r="J16" s="9"/>
    </row>
    <row r="17" spans="2:10" ht="15" x14ac:dyDescent="0.2">
      <c r="B17" s="12">
        <f t="shared" si="0"/>
        <v>13</v>
      </c>
      <c r="C17" s="4" t="s">
        <v>14</v>
      </c>
      <c r="D17" s="4"/>
      <c r="E17" s="4" t="s">
        <v>56</v>
      </c>
      <c r="F17" s="4" t="s">
        <v>88</v>
      </c>
      <c r="G17" s="4" t="s">
        <v>123</v>
      </c>
      <c r="H17" s="4" t="s">
        <v>156</v>
      </c>
      <c r="I17" s="5">
        <v>8</v>
      </c>
      <c r="J17" s="9"/>
    </row>
    <row r="18" spans="2:10" ht="15" x14ac:dyDescent="0.2">
      <c r="B18" s="13">
        <f t="shared" si="0"/>
        <v>14</v>
      </c>
      <c r="C18" s="6" t="s">
        <v>15</v>
      </c>
      <c r="D18" s="6"/>
      <c r="E18" s="6" t="s">
        <v>57</v>
      </c>
      <c r="F18" s="6" t="s">
        <v>89</v>
      </c>
      <c r="G18" s="6" t="s">
        <v>124</v>
      </c>
      <c r="H18" s="6" t="s">
        <v>89</v>
      </c>
      <c r="I18" s="7">
        <v>1</v>
      </c>
      <c r="J18" s="9"/>
    </row>
    <row r="19" spans="2:10" ht="15" x14ac:dyDescent="0.2">
      <c r="B19" s="12">
        <f t="shared" si="0"/>
        <v>15</v>
      </c>
      <c r="C19" s="4" t="s">
        <v>16</v>
      </c>
      <c r="D19" s="4"/>
      <c r="E19" s="4" t="s">
        <v>57</v>
      </c>
      <c r="F19" s="4" t="s">
        <v>90</v>
      </c>
      <c r="G19" s="4" t="s">
        <v>124</v>
      </c>
      <c r="H19" s="4" t="s">
        <v>157</v>
      </c>
      <c r="I19" s="5">
        <v>1</v>
      </c>
      <c r="J19" s="9"/>
    </row>
    <row r="20" spans="2:10" ht="15" x14ac:dyDescent="0.2">
      <c r="B20" s="13">
        <f t="shared" si="0"/>
        <v>16</v>
      </c>
      <c r="C20" s="6" t="s">
        <v>17</v>
      </c>
      <c r="D20" s="6"/>
      <c r="E20" s="6" t="s">
        <v>58</v>
      </c>
      <c r="F20" s="6" t="s">
        <v>91</v>
      </c>
      <c r="G20" s="6" t="s">
        <v>125</v>
      </c>
      <c r="H20" s="6" t="s">
        <v>158</v>
      </c>
      <c r="I20" s="7">
        <v>1</v>
      </c>
      <c r="J20" s="9"/>
    </row>
    <row r="21" spans="2:10" ht="15" x14ac:dyDescent="0.2">
      <c r="B21" s="12">
        <f t="shared" si="0"/>
        <v>17</v>
      </c>
      <c r="C21" s="4" t="s">
        <v>18</v>
      </c>
      <c r="D21" s="4" t="s">
        <v>48</v>
      </c>
      <c r="E21" s="4" t="s">
        <v>59</v>
      </c>
      <c r="F21" s="4" t="s">
        <v>92</v>
      </c>
      <c r="G21" s="4" t="s">
        <v>126</v>
      </c>
      <c r="H21" s="4" t="s">
        <v>159</v>
      </c>
      <c r="I21" s="5">
        <v>4</v>
      </c>
      <c r="J21" s="9"/>
    </row>
    <row r="22" spans="2:10" ht="15" x14ac:dyDescent="0.2">
      <c r="B22" s="13">
        <f t="shared" si="0"/>
        <v>18</v>
      </c>
      <c r="C22" s="6" t="s">
        <v>19</v>
      </c>
      <c r="D22" s="6"/>
      <c r="E22" s="6" t="s">
        <v>60</v>
      </c>
      <c r="F22" s="6" t="s">
        <v>93</v>
      </c>
      <c r="G22" s="6" t="s">
        <v>127</v>
      </c>
      <c r="H22" s="6" t="s">
        <v>93</v>
      </c>
      <c r="I22" s="7">
        <v>1</v>
      </c>
      <c r="J22" s="9"/>
    </row>
    <row r="23" spans="2:10" ht="15" x14ac:dyDescent="0.2">
      <c r="B23" s="12">
        <f t="shared" si="0"/>
        <v>19</v>
      </c>
      <c r="C23" s="4" t="s">
        <v>20</v>
      </c>
      <c r="D23" s="4"/>
      <c r="E23" s="4" t="s">
        <v>61</v>
      </c>
      <c r="F23" s="4" t="s">
        <v>94</v>
      </c>
      <c r="G23" s="4" t="s">
        <v>128</v>
      </c>
      <c r="H23" s="4" t="s">
        <v>94</v>
      </c>
      <c r="I23" s="5">
        <v>1</v>
      </c>
      <c r="J23" s="9"/>
    </row>
    <row r="24" spans="2:10" ht="15" x14ac:dyDescent="0.2">
      <c r="B24" s="13">
        <f t="shared" si="0"/>
        <v>20</v>
      </c>
      <c r="C24" s="6" t="s">
        <v>21</v>
      </c>
      <c r="D24" s="6" t="s">
        <v>49</v>
      </c>
      <c r="E24" s="6" t="s">
        <v>62</v>
      </c>
      <c r="F24" s="6" t="s">
        <v>95</v>
      </c>
      <c r="G24" s="6" t="s">
        <v>129</v>
      </c>
      <c r="H24" s="6" t="s">
        <v>160</v>
      </c>
      <c r="I24" s="7">
        <v>2</v>
      </c>
      <c r="J24" s="9"/>
    </row>
    <row r="25" spans="2:10" ht="15" x14ac:dyDescent="0.2">
      <c r="B25" s="12">
        <f t="shared" si="0"/>
        <v>21</v>
      </c>
      <c r="C25" s="4" t="s">
        <v>22</v>
      </c>
      <c r="D25" s="4"/>
      <c r="E25" s="4" t="s">
        <v>63</v>
      </c>
      <c r="F25" s="4" t="s">
        <v>96</v>
      </c>
      <c r="G25" s="4" t="s">
        <v>130</v>
      </c>
      <c r="H25" s="4" t="s">
        <v>161</v>
      </c>
      <c r="I25" s="5">
        <v>1</v>
      </c>
      <c r="J25" s="9"/>
    </row>
    <row r="26" spans="2:10" ht="15" x14ac:dyDescent="0.2">
      <c r="B26" s="13">
        <f t="shared" si="0"/>
        <v>22</v>
      </c>
      <c r="C26" s="6" t="s">
        <v>23</v>
      </c>
      <c r="D26" s="6"/>
      <c r="E26" s="6" t="s">
        <v>64</v>
      </c>
      <c r="F26" s="6" t="s">
        <v>97</v>
      </c>
      <c r="G26" s="6" t="s">
        <v>131</v>
      </c>
      <c r="H26" s="6" t="s">
        <v>162</v>
      </c>
      <c r="I26" s="7">
        <v>2</v>
      </c>
      <c r="J26" s="9"/>
    </row>
    <row r="27" spans="2:10" ht="15" x14ac:dyDescent="0.2">
      <c r="B27" s="12">
        <f t="shared" si="0"/>
        <v>23</v>
      </c>
      <c r="C27" s="4" t="s">
        <v>24</v>
      </c>
      <c r="D27" s="4"/>
      <c r="E27" s="4" t="s">
        <v>65</v>
      </c>
      <c r="F27" s="4" t="s">
        <v>98</v>
      </c>
      <c r="G27" s="4" t="s">
        <v>132</v>
      </c>
      <c r="H27" s="4" t="s">
        <v>98</v>
      </c>
      <c r="I27" s="5">
        <v>1</v>
      </c>
      <c r="J27" s="9"/>
    </row>
    <row r="28" spans="2:10" ht="15" x14ac:dyDescent="0.2">
      <c r="B28" s="13">
        <f t="shared" si="0"/>
        <v>24</v>
      </c>
      <c r="C28" s="6" t="s">
        <v>25</v>
      </c>
      <c r="D28" s="6"/>
      <c r="E28" s="6" t="s">
        <v>66</v>
      </c>
      <c r="F28" s="6" t="s">
        <v>99</v>
      </c>
      <c r="G28" s="6" t="s">
        <v>133</v>
      </c>
      <c r="H28" s="6" t="s">
        <v>163</v>
      </c>
      <c r="I28" s="7">
        <v>6</v>
      </c>
      <c r="J28" s="9"/>
    </row>
    <row r="29" spans="2:10" ht="15" x14ac:dyDescent="0.2">
      <c r="B29" s="12">
        <f t="shared" si="0"/>
        <v>25</v>
      </c>
      <c r="C29" s="4" t="s">
        <v>26</v>
      </c>
      <c r="D29" s="4"/>
      <c r="E29" s="4" t="s">
        <v>66</v>
      </c>
      <c r="F29" s="4" t="s">
        <v>100</v>
      </c>
      <c r="G29" s="4" t="s">
        <v>133</v>
      </c>
      <c r="H29" s="4" t="s">
        <v>164</v>
      </c>
      <c r="I29" s="5">
        <v>4</v>
      </c>
      <c r="J29" s="9"/>
    </row>
    <row r="30" spans="2:10" ht="15" x14ac:dyDescent="0.2">
      <c r="B30" s="13">
        <f t="shared" si="0"/>
        <v>26</v>
      </c>
      <c r="C30" s="6" t="s">
        <v>27</v>
      </c>
      <c r="D30" s="6"/>
      <c r="E30" s="6" t="s">
        <v>66</v>
      </c>
      <c r="F30" s="6" t="s">
        <v>101</v>
      </c>
      <c r="G30" s="6" t="s">
        <v>119</v>
      </c>
      <c r="H30" s="6" t="s">
        <v>165</v>
      </c>
      <c r="I30" s="7">
        <v>8</v>
      </c>
      <c r="J30" s="9"/>
    </row>
    <row r="31" spans="2:10" ht="15" x14ac:dyDescent="0.2">
      <c r="B31" s="12">
        <f t="shared" si="0"/>
        <v>27</v>
      </c>
      <c r="C31" s="4" t="s">
        <v>28</v>
      </c>
      <c r="D31" s="4"/>
      <c r="E31" s="4" t="s">
        <v>66</v>
      </c>
      <c r="F31" s="4" t="s">
        <v>102</v>
      </c>
      <c r="G31" s="4" t="s">
        <v>134</v>
      </c>
      <c r="H31" s="4" t="s">
        <v>166</v>
      </c>
      <c r="I31" s="5">
        <v>1</v>
      </c>
      <c r="J31" s="9"/>
    </row>
    <row r="32" spans="2:10" ht="15" x14ac:dyDescent="0.2">
      <c r="B32" s="13">
        <f t="shared" si="0"/>
        <v>28</v>
      </c>
      <c r="C32" s="6" t="s">
        <v>29</v>
      </c>
      <c r="D32" s="6"/>
      <c r="E32" s="6" t="s">
        <v>67</v>
      </c>
      <c r="F32" s="6" t="s">
        <v>103</v>
      </c>
      <c r="G32" s="6" t="s">
        <v>135</v>
      </c>
      <c r="H32" s="6" t="s">
        <v>167</v>
      </c>
      <c r="I32" s="7">
        <v>1</v>
      </c>
      <c r="J32" s="9"/>
    </row>
    <row r="33" spans="2:10" ht="15" x14ac:dyDescent="0.2">
      <c r="B33" s="12">
        <f t="shared" si="0"/>
        <v>29</v>
      </c>
      <c r="C33" s="4" t="s">
        <v>30</v>
      </c>
      <c r="D33" s="4"/>
      <c r="E33" s="4" t="s">
        <v>68</v>
      </c>
      <c r="F33" s="4" t="s">
        <v>104</v>
      </c>
      <c r="G33" s="4" t="s">
        <v>136</v>
      </c>
      <c r="H33" s="4" t="s">
        <v>168</v>
      </c>
      <c r="I33" s="5">
        <v>2</v>
      </c>
      <c r="J33" s="9"/>
    </row>
    <row r="34" spans="2:10" ht="15" x14ac:dyDescent="0.2">
      <c r="B34" s="13">
        <f t="shared" si="0"/>
        <v>30</v>
      </c>
      <c r="C34" s="6" t="s">
        <v>31</v>
      </c>
      <c r="D34" s="6"/>
      <c r="E34" s="6" t="s">
        <v>66</v>
      </c>
      <c r="F34" s="6" t="s">
        <v>105</v>
      </c>
      <c r="G34" s="6" t="s">
        <v>135</v>
      </c>
      <c r="H34" s="6" t="s">
        <v>169</v>
      </c>
      <c r="I34" s="7">
        <v>1</v>
      </c>
      <c r="J34" s="9"/>
    </row>
    <row r="35" spans="2:10" ht="15" x14ac:dyDescent="0.2">
      <c r="B35" s="12">
        <f t="shared" si="0"/>
        <v>31</v>
      </c>
      <c r="C35" s="4" t="s">
        <v>32</v>
      </c>
      <c r="D35" s="4"/>
      <c r="E35" s="4" t="s">
        <v>66</v>
      </c>
      <c r="F35" s="4" t="s">
        <v>106</v>
      </c>
      <c r="G35" s="4" t="s">
        <v>135</v>
      </c>
      <c r="H35" s="4" t="s">
        <v>170</v>
      </c>
      <c r="I35" s="5">
        <v>1</v>
      </c>
      <c r="J35" s="9"/>
    </row>
    <row r="36" spans="2:10" ht="15" x14ac:dyDescent="0.2">
      <c r="B36" s="13">
        <f t="shared" si="0"/>
        <v>32</v>
      </c>
      <c r="C36" s="6" t="s">
        <v>33</v>
      </c>
      <c r="D36" s="6"/>
      <c r="E36" s="6" t="s">
        <v>66</v>
      </c>
      <c r="F36" s="6" t="s">
        <v>107</v>
      </c>
      <c r="G36" s="6" t="s">
        <v>135</v>
      </c>
      <c r="H36" s="6" t="s">
        <v>171</v>
      </c>
      <c r="I36" s="7">
        <v>1</v>
      </c>
      <c r="J36" s="9"/>
    </row>
    <row r="37" spans="2:10" ht="15" x14ac:dyDescent="0.2">
      <c r="B37" s="12">
        <f t="shared" si="0"/>
        <v>33</v>
      </c>
      <c r="C37" s="4" t="s">
        <v>34</v>
      </c>
      <c r="D37" s="4"/>
      <c r="E37" s="4" t="s">
        <v>66</v>
      </c>
      <c r="F37" s="4" t="s">
        <v>108</v>
      </c>
      <c r="G37" s="4" t="s">
        <v>136</v>
      </c>
      <c r="H37" s="4" t="s">
        <v>172</v>
      </c>
      <c r="I37" s="5">
        <v>1</v>
      </c>
      <c r="J37" s="9"/>
    </row>
    <row r="38" spans="2:10" ht="15" x14ac:dyDescent="0.2">
      <c r="B38" s="13">
        <f t="shared" si="0"/>
        <v>34</v>
      </c>
      <c r="C38" s="6" t="s">
        <v>35</v>
      </c>
      <c r="D38" s="6"/>
      <c r="E38" s="6" t="s">
        <v>66</v>
      </c>
      <c r="F38" s="6" t="s">
        <v>109</v>
      </c>
      <c r="G38" s="6" t="s">
        <v>136</v>
      </c>
      <c r="H38" s="6" t="s">
        <v>173</v>
      </c>
      <c r="I38" s="7">
        <v>2</v>
      </c>
      <c r="J38" s="9"/>
    </row>
    <row r="39" spans="2:10" ht="15" x14ac:dyDescent="0.2">
      <c r="B39" s="12">
        <f t="shared" si="0"/>
        <v>35</v>
      </c>
      <c r="C39" s="4" t="s">
        <v>36</v>
      </c>
      <c r="D39" s="4"/>
      <c r="E39" s="4" t="s">
        <v>66</v>
      </c>
      <c r="F39" s="4" t="s">
        <v>110</v>
      </c>
      <c r="G39" s="4" t="s">
        <v>119</v>
      </c>
      <c r="H39" s="4" t="s">
        <v>174</v>
      </c>
      <c r="I39" s="5">
        <v>1</v>
      </c>
      <c r="J39" s="9"/>
    </row>
    <row r="40" spans="2:10" ht="15" x14ac:dyDescent="0.2">
      <c r="B40" s="13">
        <f t="shared" si="0"/>
        <v>36</v>
      </c>
      <c r="C40" s="6" t="s">
        <v>37</v>
      </c>
      <c r="D40" s="6"/>
      <c r="E40" s="6" t="s">
        <v>66</v>
      </c>
      <c r="F40" s="6" t="s">
        <v>111</v>
      </c>
      <c r="G40" s="6" t="s">
        <v>119</v>
      </c>
      <c r="H40" s="6" t="s">
        <v>175</v>
      </c>
      <c r="I40" s="7">
        <v>4</v>
      </c>
      <c r="J40" s="9"/>
    </row>
    <row r="41" spans="2:10" ht="15" x14ac:dyDescent="0.2">
      <c r="B41" s="12">
        <f t="shared" si="0"/>
        <v>37</v>
      </c>
      <c r="C41" s="4" t="s">
        <v>38</v>
      </c>
      <c r="D41" s="4"/>
      <c r="E41" s="4" t="s">
        <v>66</v>
      </c>
      <c r="F41" s="4" t="s">
        <v>111</v>
      </c>
      <c r="G41" s="4" t="s">
        <v>135</v>
      </c>
      <c r="H41" s="4" t="s">
        <v>176</v>
      </c>
      <c r="I41" s="5">
        <v>4</v>
      </c>
      <c r="J41" s="9"/>
    </row>
    <row r="42" spans="2:10" ht="15" x14ac:dyDescent="0.2">
      <c r="B42" s="13">
        <f t="shared" si="0"/>
        <v>38</v>
      </c>
      <c r="C42" s="6" t="s">
        <v>39</v>
      </c>
      <c r="D42" s="6" t="s">
        <v>50</v>
      </c>
      <c r="E42" s="6" t="s">
        <v>69</v>
      </c>
      <c r="F42" s="6"/>
      <c r="G42" s="6" t="s">
        <v>137</v>
      </c>
      <c r="H42" s="6" t="s">
        <v>177</v>
      </c>
      <c r="I42" s="7">
        <v>3</v>
      </c>
      <c r="J42" s="9"/>
    </row>
    <row r="43" spans="2:10" ht="15" x14ac:dyDescent="0.2">
      <c r="B43" s="12">
        <f t="shared" si="0"/>
        <v>39</v>
      </c>
      <c r="C43" s="4" t="s">
        <v>40</v>
      </c>
      <c r="D43" s="4" t="s">
        <v>51</v>
      </c>
      <c r="E43" s="4" t="s">
        <v>70</v>
      </c>
      <c r="F43" s="4" t="s">
        <v>112</v>
      </c>
      <c r="G43" s="4" t="s">
        <v>138</v>
      </c>
      <c r="H43" s="4" t="s">
        <v>178</v>
      </c>
      <c r="I43" s="5">
        <v>1</v>
      </c>
      <c r="J43" s="9"/>
    </row>
    <row r="44" spans="2:10" ht="15" x14ac:dyDescent="0.2">
      <c r="B44" s="13">
        <f t="shared" si="0"/>
        <v>40</v>
      </c>
      <c r="C44" s="6" t="s">
        <v>41</v>
      </c>
      <c r="D44" s="6"/>
      <c r="E44" s="6" t="s">
        <v>71</v>
      </c>
      <c r="F44" s="6" t="s">
        <v>112</v>
      </c>
      <c r="G44" s="6" t="s">
        <v>139</v>
      </c>
      <c r="H44" s="6" t="s">
        <v>179</v>
      </c>
      <c r="I44" s="7">
        <v>1</v>
      </c>
      <c r="J44" s="9"/>
    </row>
    <row r="45" spans="2:10" ht="15" x14ac:dyDescent="0.2">
      <c r="B45" s="12">
        <f t="shared" si="0"/>
        <v>41</v>
      </c>
      <c r="C45" s="4" t="s">
        <v>42</v>
      </c>
      <c r="D45" s="4"/>
      <c r="E45" s="4" t="s">
        <v>72</v>
      </c>
      <c r="F45" s="4" t="s">
        <v>113</v>
      </c>
      <c r="G45" s="4" t="s">
        <v>140</v>
      </c>
      <c r="H45" s="4" t="s">
        <v>113</v>
      </c>
      <c r="I45" s="5">
        <v>1</v>
      </c>
      <c r="J45" s="9"/>
    </row>
    <row r="46" spans="2:10" ht="15" x14ac:dyDescent="0.2">
      <c r="B46" s="13">
        <f t="shared" si="0"/>
        <v>42</v>
      </c>
      <c r="C46" s="6" t="s">
        <v>43</v>
      </c>
      <c r="D46" s="6"/>
      <c r="E46" s="6" t="s">
        <v>73</v>
      </c>
      <c r="F46" s="6" t="s">
        <v>114</v>
      </c>
      <c r="G46" s="6" t="s">
        <v>141</v>
      </c>
      <c r="H46" s="6" t="s">
        <v>114</v>
      </c>
      <c r="I46" s="7">
        <v>1</v>
      </c>
      <c r="J46" s="9"/>
    </row>
    <row r="47" spans="2:10" ht="15" x14ac:dyDescent="0.2">
      <c r="B47" s="12">
        <f t="shared" si="0"/>
        <v>43</v>
      </c>
      <c r="C47" s="4" t="s">
        <v>44</v>
      </c>
      <c r="D47" s="4"/>
      <c r="E47" s="4" t="s">
        <v>74</v>
      </c>
      <c r="F47" s="4" t="s">
        <v>115</v>
      </c>
      <c r="G47" s="4" t="s">
        <v>142</v>
      </c>
      <c r="H47" s="4" t="s">
        <v>180</v>
      </c>
      <c r="I47" s="5">
        <v>1</v>
      </c>
      <c r="J47" s="9"/>
    </row>
    <row r="48" spans="2:10" ht="15" x14ac:dyDescent="0.2">
      <c r="B48" s="13">
        <f t="shared" si="0"/>
        <v>44</v>
      </c>
      <c r="C48" s="6" t="s">
        <v>45</v>
      </c>
      <c r="D48" s="6"/>
      <c r="E48" s="6" t="s">
        <v>75</v>
      </c>
      <c r="F48" s="6" t="s">
        <v>116</v>
      </c>
      <c r="G48" s="6" t="s">
        <v>142</v>
      </c>
      <c r="H48" s="6" t="s">
        <v>181</v>
      </c>
      <c r="I48" s="7">
        <v>1</v>
      </c>
      <c r="J48" s="9"/>
    </row>
    <row r="49" spans="9:10" x14ac:dyDescent="0.2">
      <c r="I49" s="9"/>
      <c r="J49" s="9"/>
    </row>
  </sheetData>
  <pageMargins left="0.25" right="0.25" top="0.75" bottom="0.75" header="0.3" footer="0.3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burak yalım</cp:lastModifiedBy>
  <cp:lastPrinted>2014-01-09T23:24:28Z</cp:lastPrinted>
  <dcterms:created xsi:type="dcterms:W3CDTF">2013-12-31T18:23:59Z</dcterms:created>
  <dcterms:modified xsi:type="dcterms:W3CDTF">2026-07-27T19:46:13Z</dcterms:modified>
</cp:coreProperties>
</file>