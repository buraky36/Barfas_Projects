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Barfas_Projects\Barfas_Projects\myProjects\4_KNX\Hardware\Imported\KNX_Relay_16CH_V1.2\ASSY-FILES\BOM\"/>
    </mc:Choice>
  </mc:AlternateContent>
  <xr:revisionPtr revIDLastSave="0" documentId="13_ncr:1_{55790521-E385-4CE2-83FB-660220F43FD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6" i="1" l="1"/>
  <c r="B15" i="1"/>
  <c r="B14" i="1"/>
  <c r="B13" i="1"/>
  <c r="B12" i="1"/>
  <c r="B11" i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<sst xmlns="http://schemas.openxmlformats.org/spreadsheetml/2006/main" count="70" uniqueCount="61">
  <si>
    <t>#</t>
  </si>
  <si>
    <t>Designator</t>
  </si>
  <si>
    <t>C4, C5</t>
  </si>
  <si>
    <t>C6, C7, C12, C13, C14, C15, C16, C17, C18, C19, C20, C21, C22, C23, C24, C25, C26, C27, C28, C29, C30, C31, C32, C33, C34, C35, C36, C37, C38, C39, C40, C41, C42, C43, C44, C45</t>
  </si>
  <si>
    <t>J1, J2, J3, J4, J5, J6, J7, J8, J11, J12, J13, J14, J15, J16, J17, J18</t>
  </si>
  <si>
    <t>J9, J10</t>
  </si>
  <si>
    <t>K1, K4, K5, K6, K7, K8, K9, K10, K11, K12, K13, K14, K15, K16, K17, K18</t>
  </si>
  <si>
    <t>Q3, Q4, Q18, Q19, Q20, Q21, Q22, Q23, Q24, Q25, Q26, Q27, Q28, Q29, Q30, Q31, Q32, Q33, Q34, Q35, Q36, Q37, Q38, Q39, Q40, Q41, Q42, Q43, Q44, Q45, Q46, Q47, Q48</t>
  </si>
  <si>
    <t>R32, R35, R58, R59, R62, R63, R66, R67, R70, R71, R74, R75, R78, R79, R82, R83, R84, R85, R95, R96, R97, R98, R101, R102, R105, R106, R109, R110, R113, R114, R117, R118, R121, R122</t>
  </si>
  <si>
    <t>R33, R34, R56, R57, R60, R61, R64, R65, R68, R69, R72, R73, R76, R77, R80, R81, R91, R92, R93, R94, R99, R100, R103, R104, R107, R108, R111, R112, R115, R116, R119, R120</t>
  </si>
  <si>
    <t>R86</t>
  </si>
  <si>
    <t>R87, R88, R89, R90</t>
  </si>
  <si>
    <t>U15, U16, U17, U18</t>
  </si>
  <si>
    <t>Z2</t>
  </si>
  <si>
    <t>Description</t>
  </si>
  <si>
    <t>FEMALE HEADER 4PIN(1x4) 2.54mm THT V/T TRAY</t>
  </si>
  <si>
    <t>RES.(1608) 0603 0 Ohms 1/10W JUMPER</t>
  </si>
  <si>
    <t>Footprint</t>
  </si>
  <si>
    <t>CP_Radial_D12.5mm_P5.00mm</t>
  </si>
  <si>
    <t>C_0603_1608Metric</t>
  </si>
  <si>
    <t>DG129-5.08-02P</t>
  </si>
  <si>
    <t>PinHeader_1x04_P2.54mm_Vertical</t>
  </si>
  <si>
    <t>RELAY9-500X1142_618</t>
  </si>
  <si>
    <t>SOT-23</t>
  </si>
  <si>
    <t>R_0603_1608Metric</t>
  </si>
  <si>
    <t>TSSOP-16_4.4x5mm_P0.65mm</t>
  </si>
  <si>
    <t>D_MiniMELF</t>
  </si>
  <si>
    <t>Value</t>
  </si>
  <si>
    <t>1500uf/35V</t>
  </si>
  <si>
    <t>100nF</t>
  </si>
  <si>
    <t>DG129-5.08-02P-14-00AH</t>
  </si>
  <si>
    <t>Conn_01x04</t>
  </si>
  <si>
    <t>RT314F12</t>
  </si>
  <si>
    <t>2N7002ET1G</t>
  </si>
  <si>
    <t>10K</t>
  </si>
  <si>
    <t>1K</t>
  </si>
  <si>
    <t>0R</t>
  </si>
  <si>
    <t>33R</t>
  </si>
  <si>
    <t>74HC595PW,118</t>
  </si>
  <si>
    <t>6.8V</t>
  </si>
  <si>
    <t>Manufacturer</t>
  </si>
  <si>
    <t>SAMWHA</t>
  </si>
  <si>
    <t>YAGEO</t>
  </si>
  <si>
    <t>DEGSON</t>
  </si>
  <si>
    <t>AMTEK</t>
  </si>
  <si>
    <t>TE Connectivity</t>
  </si>
  <si>
    <t>onsemi</t>
  </si>
  <si>
    <t>FOJAN</t>
  </si>
  <si>
    <t>PANASONIC(EUROPE)</t>
  </si>
  <si>
    <t>Nexperia</t>
  </si>
  <si>
    <t>PANJIT</t>
  </si>
  <si>
    <t>Manufacturer Part Number</t>
  </si>
  <si>
    <t>RP1C158M12020PL</t>
  </si>
  <si>
    <t>CC0603KRX7R9BB104</t>
  </si>
  <si>
    <t>5PS1SDA85-104G0NNNAL-00</t>
  </si>
  <si>
    <t>FRC0603J103TS</t>
  </si>
  <si>
    <t>RC0603JR-071KL</t>
  </si>
  <si>
    <t>ERJ3GEY0R00V</t>
  </si>
  <si>
    <t>RC0603JR-0733RL</t>
  </si>
  <si>
    <t>ZMM55-C6V8_R1_10001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</si>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</sst>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i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5CAD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colors>
    <mruColors>
      <color rgb="FFC5CA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"/>
  <sheetViews>
    <sheetView showGridLines="0" tabSelected="1" zoomScale="70" zoomScaleNormal="70" workbookViewId="0">
      <pane ySplit="4" topLeftCell="A5" activePane="bottomLeft" state="frozen"/>
      <selection pane="bottomLeft" activeCell="C22" sqref="C22"/>
    </sheetView>
  </sheetViews>
  <sheetFormatPr defaultRowHeight="14.25" x14ac:dyDescent="0.2"/>
  <cols>
    <col min="1" max="1" width="2.42578125" style="8" customWidth="1"/>
    <col min="2" max="2" width="3.85546875" style="8" customWidth="1"/>
    <col min="3" max="3" width="180" style="8" bestFit="1" customWidth="1"/>
    <col min="4" max="4" width="49.140625" style="8" bestFit="1" customWidth="1"/>
    <col min="5" max="5" width="32.85546875" style="8" bestFit="1" customWidth="1"/>
    <col min="6" max="6" width="24" style="8" bestFit="1" customWidth="1"/>
    <col min="7" max="7" width="22.42578125" style="8" bestFit="1" customWidth="1"/>
    <col min="8" max="8" width="28.5703125" style="8" bestFit="1" customWidth="1"/>
    <col min="9" max="9" width="9.5703125" style="8" bestFit="1" customWidth="1"/>
    <col min="10" max="10" width="4.28515625" style="8" customWidth="1"/>
    <col min="11" max="16384" width="9.140625" style="8"/>
  </cols>
  <sheetData>
    <row r="1" spans="1:11" ht="9.75" customHeight="1" x14ac:dyDescent="0.2">
      <c r="C1" s="9"/>
      <c r="D1" s="10"/>
      <c r="E1" s="10"/>
      <c r="F1" s="10"/>
      <c r="G1" s="10"/>
      <c r="H1" s="10"/>
      <c r="I1" s="10"/>
      <c r="J1" s="11"/>
    </row>
    <row r="2" spans="1:11" x14ac:dyDescent="0.2">
      <c r="A2" s="9"/>
      <c r="B2" s="9"/>
      <c r="C2" s="9"/>
      <c r="D2" s="9"/>
      <c r="H2" s="9"/>
      <c r="I2" s="9"/>
      <c r="J2" s="9"/>
      <c r="K2" s="9"/>
    </row>
    <row r="3" spans="1:11" ht="15" thickBot="1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5" x14ac:dyDescent="0.2">
      <c r="B4" s="1" t="s">
        <v>0</v>
      </c>
      <c r="C4" s="2" t="s">
        <v>1</v>
      </c>
      <c r="D4" s="2" t="s">
        <v>14</v>
      </c>
      <c r="E4" s="2" t="s">
        <v>17</v>
      </c>
      <c r="F4" s="2" t="s">
        <v>27</v>
      </c>
      <c r="G4" s="2" t="s">
        <v>40</v>
      </c>
      <c r="H4" s="2" t="s">
        <v>51</v>
      </c>
      <c r="I4" s="3" t="s">
        <v>60</v>
      </c>
      <c r="J4" s="9"/>
    </row>
    <row r="5" spans="1:11" ht="15" x14ac:dyDescent="0.2">
      <c r="B5" s="12">
        <f t="shared" ref="B5:B16" si="0">ROW(B5) - ROW($B$4)</f>
        <v>1</v>
      </c>
      <c r="C5" s="4" t="s">
        <v>2</v>
      </c>
      <c r="D5" s="4"/>
      <c r="E5" s="4" t="s">
        <v>18</v>
      </c>
      <c r="F5" s="4" t="s">
        <v>28</v>
      </c>
      <c r="G5" s="4" t="s">
        <v>41</v>
      </c>
      <c r="H5" s="4" t="s">
        <v>52</v>
      </c>
      <c r="I5" s="5">
        <v>2</v>
      </c>
      <c r="J5" s="9"/>
    </row>
    <row r="6" spans="1:11" ht="15" x14ac:dyDescent="0.2">
      <c r="B6" s="13">
        <f t="shared" si="0"/>
        <v>2</v>
      </c>
      <c r="C6" s="6" t="s">
        <v>3</v>
      </c>
      <c r="D6" s="6"/>
      <c r="E6" s="6" t="s">
        <v>19</v>
      </c>
      <c r="F6" s="6" t="s">
        <v>29</v>
      </c>
      <c r="G6" s="6" t="s">
        <v>42</v>
      </c>
      <c r="H6" s="6" t="s">
        <v>53</v>
      </c>
      <c r="I6" s="7">
        <v>36</v>
      </c>
      <c r="J6" s="9"/>
    </row>
    <row r="7" spans="1:11" ht="15" x14ac:dyDescent="0.2">
      <c r="B7" s="12">
        <f t="shared" si="0"/>
        <v>3</v>
      </c>
      <c r="C7" s="4" t="s">
        <v>4</v>
      </c>
      <c r="D7" s="4"/>
      <c r="E7" s="4" t="s">
        <v>20</v>
      </c>
      <c r="F7" s="4" t="s">
        <v>30</v>
      </c>
      <c r="G7" s="4" t="s">
        <v>43</v>
      </c>
      <c r="H7" s="4" t="s">
        <v>30</v>
      </c>
      <c r="I7" s="5">
        <v>16</v>
      </c>
      <c r="J7" s="9"/>
    </row>
    <row r="8" spans="1:11" ht="15" x14ac:dyDescent="0.2">
      <c r="B8" s="13">
        <f t="shared" si="0"/>
        <v>4</v>
      </c>
      <c r="C8" s="6" t="s">
        <v>5</v>
      </c>
      <c r="D8" s="6" t="s">
        <v>15</v>
      </c>
      <c r="E8" s="6" t="s">
        <v>21</v>
      </c>
      <c r="F8" s="6" t="s">
        <v>31</v>
      </c>
      <c r="G8" s="6" t="s">
        <v>44</v>
      </c>
      <c r="H8" s="6" t="s">
        <v>54</v>
      </c>
      <c r="I8" s="7">
        <v>2</v>
      </c>
      <c r="J8" s="9"/>
    </row>
    <row r="9" spans="1:11" ht="15" x14ac:dyDescent="0.2">
      <c r="B9" s="12">
        <f t="shared" si="0"/>
        <v>5</v>
      </c>
      <c r="C9" s="4" t="s">
        <v>6</v>
      </c>
      <c r="D9" s="4"/>
      <c r="E9" s="4" t="s">
        <v>22</v>
      </c>
      <c r="F9" s="4" t="s">
        <v>32</v>
      </c>
      <c r="G9" s="4" t="s">
        <v>45</v>
      </c>
      <c r="H9" s="4" t="s">
        <v>32</v>
      </c>
      <c r="I9" s="5">
        <v>16</v>
      </c>
      <c r="J9" s="9"/>
    </row>
    <row r="10" spans="1:11" ht="15" x14ac:dyDescent="0.2">
      <c r="B10" s="13">
        <f t="shared" si="0"/>
        <v>6</v>
      </c>
      <c r="C10" s="6" t="s">
        <v>7</v>
      </c>
      <c r="D10" s="6"/>
      <c r="E10" s="6" t="s">
        <v>23</v>
      </c>
      <c r="F10" s="6" t="s">
        <v>33</v>
      </c>
      <c r="G10" s="6" t="s">
        <v>46</v>
      </c>
      <c r="H10" s="6" t="s">
        <v>33</v>
      </c>
      <c r="I10" s="7">
        <v>33</v>
      </c>
      <c r="J10" s="9"/>
    </row>
    <row r="11" spans="1:11" ht="15" x14ac:dyDescent="0.2">
      <c r="B11" s="12">
        <f t="shared" si="0"/>
        <v>7</v>
      </c>
      <c r="C11" s="4" t="s">
        <v>8</v>
      </c>
      <c r="D11" s="4"/>
      <c r="E11" s="4" t="s">
        <v>24</v>
      </c>
      <c r="F11" s="4" t="s">
        <v>34</v>
      </c>
      <c r="G11" s="4" t="s">
        <v>47</v>
      </c>
      <c r="H11" s="4" t="s">
        <v>55</v>
      </c>
      <c r="I11" s="5">
        <v>34</v>
      </c>
      <c r="J11" s="9"/>
    </row>
    <row r="12" spans="1:11" ht="15" x14ac:dyDescent="0.2">
      <c r="B12" s="13">
        <f t="shared" si="0"/>
        <v>8</v>
      </c>
      <c r="C12" s="6" t="s">
        <v>9</v>
      </c>
      <c r="D12" s="6"/>
      <c r="E12" s="6" t="s">
        <v>24</v>
      </c>
      <c r="F12" s="6" t="s">
        <v>35</v>
      </c>
      <c r="G12" s="6" t="s">
        <v>42</v>
      </c>
      <c r="H12" s="6" t="s">
        <v>56</v>
      </c>
      <c r="I12" s="7">
        <v>32</v>
      </c>
      <c r="J12" s="9"/>
    </row>
    <row r="13" spans="1:11" ht="15" x14ac:dyDescent="0.2">
      <c r="B13" s="12">
        <f t="shared" si="0"/>
        <v>9</v>
      </c>
      <c r="C13" s="4" t="s">
        <v>10</v>
      </c>
      <c r="D13" s="4" t="s">
        <v>16</v>
      </c>
      <c r="E13" s="4" t="s">
        <v>24</v>
      </c>
      <c r="F13" s="4" t="s">
        <v>36</v>
      </c>
      <c r="G13" s="4" t="s">
        <v>48</v>
      </c>
      <c r="H13" s="4" t="s">
        <v>57</v>
      </c>
      <c r="I13" s="5">
        <v>1</v>
      </c>
      <c r="J13" s="9"/>
    </row>
    <row r="14" spans="1:11" ht="15" x14ac:dyDescent="0.2">
      <c r="B14" s="13">
        <f t="shared" si="0"/>
        <v>10</v>
      </c>
      <c r="C14" s="6" t="s">
        <v>11</v>
      </c>
      <c r="D14" s="6"/>
      <c r="E14" s="6" t="s">
        <v>24</v>
      </c>
      <c r="F14" s="6" t="s">
        <v>37</v>
      </c>
      <c r="G14" s="6" t="s">
        <v>42</v>
      </c>
      <c r="H14" s="6" t="s">
        <v>58</v>
      </c>
      <c r="I14" s="7">
        <v>4</v>
      </c>
      <c r="J14" s="9"/>
    </row>
    <row r="15" spans="1:11" ht="15" x14ac:dyDescent="0.2">
      <c r="B15" s="12">
        <f t="shared" si="0"/>
        <v>11</v>
      </c>
      <c r="C15" s="4" t="s">
        <v>12</v>
      </c>
      <c r="D15" s="4"/>
      <c r="E15" s="4" t="s">
        <v>25</v>
      </c>
      <c r="F15" s="4" t="s">
        <v>38</v>
      </c>
      <c r="G15" s="4" t="s">
        <v>49</v>
      </c>
      <c r="H15" s="4" t="s">
        <v>38</v>
      </c>
      <c r="I15" s="5">
        <v>4</v>
      </c>
      <c r="J15" s="9"/>
    </row>
    <row r="16" spans="1:11" ht="15" x14ac:dyDescent="0.2">
      <c r="B16" s="13">
        <f t="shared" si="0"/>
        <v>12</v>
      </c>
      <c r="C16" s="6" t="s">
        <v>13</v>
      </c>
      <c r="D16" s="6"/>
      <c r="E16" s="6" t="s">
        <v>26</v>
      </c>
      <c r="F16" s="6" t="s">
        <v>39</v>
      </c>
      <c r="G16" s="6" t="s">
        <v>50</v>
      </c>
      <c r="H16" s="6" t="s">
        <v>59</v>
      </c>
      <c r="I16" s="7">
        <v>1</v>
      </c>
      <c r="J16" s="9"/>
    </row>
    <row r="17" spans="9:10" x14ac:dyDescent="0.2">
      <c r="I17" s="9"/>
      <c r="J17" s="9"/>
    </row>
  </sheetData>
  <pageMargins left="0.25" right="0.25" top="0.75" bottom="0.75" header="0.3" footer="0.3"/>
  <pageSetup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burak yalım</cp:lastModifiedBy>
  <cp:lastPrinted>2014-01-09T23:24:28Z</cp:lastPrinted>
  <dcterms:created xsi:type="dcterms:W3CDTF">2013-12-31T18:23:59Z</dcterms:created>
  <dcterms:modified xsi:type="dcterms:W3CDTF">2026-07-27T20:16:58Z</dcterms:modified>
</cp:coreProperties>
</file>